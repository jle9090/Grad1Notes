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======
ID#AAACGTV1svU
Scott Palo    (2026-09-02 21:02:20)
Class &amp; meetings should be 25-35% of your time</t>
        </r>
      </text>
    </comment>
    <comment ref="C17" authorId="0">
      <text>
        <r>
          <rPr>
            <sz val="10"/>
            <rFont val="Arial"/>
            <family val="2"/>
          </rPr>
          <t xml:space="preserve">======
ID#AAACGTV1svE
Scott Palo    (2026-09-02 21:02:20)
Documentation should be 20-30% of your time</t>
        </r>
      </text>
    </comment>
    <comment ref="C29" authorId="0">
      <text>
        <r>
          <rPr>
            <sz val="10"/>
            <rFont val="Arial"/>
            <family val="2"/>
          </rPr>
          <t xml:space="preserve">======
ID#AAACGTV1svA
Scott Palo    (2026-09-02 21:02:20)
Technical work should be 40-60% of your time.</t>
        </r>
      </text>
    </comment>
    <comment ref="F42" authorId="0">
      <text>
        <r>
          <rPr>
            <sz val="10"/>
            <rFont val="Arial"/>
            <family val="2"/>
          </rPr>
          <t xml:space="preserve">======
ID#AAACGTV1svY
Scott Palo    (2026-09-02 21:02:20)
You should be targeting an average of 15 hours per week with a maximum of 20 hours in any given week.</t>
        </r>
      </text>
    </comment>
    <comment ref="H2" authorId="0">
      <text>
        <r>
          <rPr>
            <sz val="10"/>
            <rFont val="Arial"/>
            <family val="2"/>
          </rPr>
          <t xml:space="preserve">======
ID#AAACGTV1svQ
Scott Palo    (2026-09-02 21:02:20)
The  week is green</t>
        </r>
      </text>
    </comment>
    <comment ref="M2" authorId="0">
      <text>
        <r>
          <rPr>
            <sz val="10"/>
            <rFont val="Arial"/>
            <family val="2"/>
          </rPr>
          <t xml:space="preserve">======
ID#AAACGTV1svM
Scott Palo    (2026-09-02 21:02:20)
Mid Semester Review Week</t>
        </r>
      </text>
    </comment>
    <comment ref="S2" authorId="0">
      <text>
        <r>
          <rPr>
            <sz val="10"/>
            <rFont val="Arial"/>
            <family val="2"/>
          </rPr>
          <t xml:space="preserve">======
ID#AAACGTV1su4
Scott Palo    (2026-09-02 21:02:20)
Fall Break</t>
        </r>
      </text>
    </comment>
    <comment ref="U2" authorId="0">
      <text>
        <r>
          <rPr>
            <sz val="10"/>
            <rFont val="Arial"/>
            <family val="2"/>
          </rPr>
          <t xml:space="preserve">======
ID#AAACGTV1svI
Scott Palo    (2026-09-02 21:02:20)
Final Review Week</t>
        </r>
      </text>
    </comment>
    <comment ref="V2" authorId="0">
      <text>
        <r>
          <rPr>
            <sz val="10"/>
            <rFont val="Arial"/>
            <family val="2"/>
          </rPr>
          <t xml:space="preserve">======
ID#AAACGTV1su8
Scott Palo    (2026-09-02 21:02:20)
Final Report due Monday 12/16</t>
        </r>
      </text>
    </comment>
  </commentList>
</comments>
</file>

<file path=xl/sharedStrings.xml><?xml version="1.0" encoding="utf-8"?>
<sst xmlns="http://schemas.openxmlformats.org/spreadsheetml/2006/main" count="141" uniqueCount="79">
  <si>
    <t xml:space="preserve">Total Hours</t>
  </si>
  <si>
    <t xml:space="preserve">Week Start Date</t>
  </si>
  <si>
    <t xml:space="preserve">Estimated</t>
  </si>
  <si>
    <t xml:space="preserve">Total
Actual</t>
  </si>
  <si>
    <t xml:space="preserve">Status</t>
  </si>
  <si>
    <t xml:space="preserve">Comment</t>
  </si>
  <si>
    <t xml:space="preserve">Legend</t>
  </si>
  <si>
    <t xml:space="preserve">Class &amp; Meetings</t>
  </si>
  <si>
    <r>
      <rPr>
        <sz val="10"/>
        <color rgb="FF000000"/>
        <rFont val="Lato, Arial"/>
        <family val="0"/>
        <charset val="1"/>
      </rPr>
      <t xml:space="preserve">Baseline (</t>
    </r>
    <r>
      <rPr>
        <b val="true"/>
        <sz val="10"/>
        <color rgb="FF000000"/>
        <rFont val="Lato, Arial"/>
        <family val="0"/>
        <charset val="1"/>
      </rPr>
      <t xml:space="preserve">DO NOT CHANGE)</t>
    </r>
  </si>
  <si>
    <t xml:space="preserve">#</t>
  </si>
  <si>
    <t xml:space="preserve">Class</t>
  </si>
  <si>
    <t xml:space="preserve">Not Started</t>
  </si>
  <si>
    <t xml:space="preserve">Re-Baseline</t>
  </si>
  <si>
    <t xml:space="preserve">Rebaselining requires approval of Prof Palo</t>
  </si>
  <si>
    <t xml:space="preserve">Lecture</t>
  </si>
  <si>
    <t xml:space="preserve">Ontime (In Progress)</t>
  </si>
  <si>
    <t xml:space="preserve">Complete</t>
  </si>
  <si>
    <t xml:space="preserve"># incidicates # of hrs worked</t>
  </si>
  <si>
    <t xml:space="preserve">Lab</t>
  </si>
  <si>
    <t xml:space="preserve">Completed early</t>
  </si>
  <si>
    <t xml:space="preserve">Meetings</t>
  </si>
  <si>
    <t xml:space="preserve">Late</t>
  </si>
  <si>
    <t xml:space="preserve">Very Late</t>
  </si>
  <si>
    <t xml:space="preserve">Full Team Mtg</t>
  </si>
  <si>
    <t xml:space="preserve">Subsys Meeting</t>
  </si>
  <si>
    <t xml:space="preserve">Project Prep</t>
  </si>
  <si>
    <t xml:space="preserve">Complete Paperwork</t>
  </si>
  <si>
    <t xml:space="preserve">Completed</t>
  </si>
  <si>
    <t xml:space="preserve">Read Documents</t>
  </si>
  <si>
    <t xml:space="preserve">Early</t>
  </si>
  <si>
    <t xml:space="preserve">Reviews</t>
  </si>
  <si>
    <t xml:space="preserve">Ontime and in progress</t>
  </si>
  <si>
    <t xml:space="preserve">Ontime</t>
  </si>
  <si>
    <t xml:space="preserve">Mid Sem Review</t>
  </si>
  <si>
    <t xml:space="preserve">Late &lt;1wk</t>
  </si>
  <si>
    <t xml:space="preserve">EOS Review</t>
  </si>
  <si>
    <t xml:space="preserve">Late &gt;1wk</t>
  </si>
  <si>
    <t xml:space="preserve">Documentation</t>
  </si>
  <si>
    <t xml:space="preserve">Semester Planning</t>
  </si>
  <si>
    <t xml:space="preserve">Notes</t>
  </si>
  <si>
    <t xml:space="preserve">SOW</t>
  </si>
  <si>
    <t xml:space="preserve">If a task gets removed, use strikeout (alt+shift+5) so that it is still visible</t>
  </si>
  <si>
    <t xml:space="preserve">Personal Plan</t>
  </si>
  <si>
    <t xml:space="preserve">Weekly Reporting</t>
  </si>
  <si>
    <t xml:space="preserve">If a task gets rebaselined just add a RB square but also leave the original baseline marker</t>
  </si>
  <si>
    <t xml:space="preserve">Quadcharts</t>
  </si>
  <si>
    <t xml:space="preserve">Review Prep</t>
  </si>
  <si>
    <t xml:space="preserve">Final Report</t>
  </si>
  <si>
    <t xml:space="preserve">Draft</t>
  </si>
  <si>
    <t xml:space="preserve">Technical</t>
  </si>
  <si>
    <t xml:space="preserve">Hydra Lithium Communication</t>
  </si>
  <si>
    <t xml:space="preserve">MCT: Review test docs</t>
  </si>
  <si>
    <t xml:space="preserve">MCT: Bench setup</t>
  </si>
  <si>
    <t xml:space="preserve">MCT: Practice run-through of test</t>
  </si>
  <si>
    <t xml:space="preserve">MCT: Full run through of test</t>
  </si>
  <si>
    <t xml:space="preserve">MCT: Troubleshooting</t>
  </si>
  <si>
    <t xml:space="preserve">SCT-1: Review test docs</t>
  </si>
  <si>
    <t xml:space="preserve">SCT-1: Bench setup</t>
  </si>
  <si>
    <t xml:space="preserve">SCT-1: Practice run-through of test</t>
  </si>
  <si>
    <t xml:space="preserve">SCT-1: Full run through of test</t>
  </si>
  <si>
    <t xml:space="preserve">SCT-1: Troubleshooting</t>
  </si>
  <si>
    <t xml:space="preserve">Ground Station PC Architecture</t>
  </si>
  <si>
    <t xml:space="preserve">Transferring HFSS to new 443 machine</t>
  </si>
  <si>
    <t xml:space="preserve">Setting up laptop for GND station</t>
  </si>
  <si>
    <t xml:space="preserve">Connecting laptop and 443 machine</t>
  </si>
  <si>
    <t xml:space="preserve">Verify ground station arch with current setup</t>
  </si>
  <si>
    <t xml:space="preserve">Planning final GND station architecture</t>
  </si>
  <si>
    <t xml:space="preserve">Running SCT-2</t>
  </si>
  <si>
    <t xml:space="preserve">Review SCT2 procedure</t>
  </si>
  <si>
    <t xml:space="preserve">Reverify Hydra-Li Comms</t>
  </si>
  <si>
    <t xml:space="preserve">Reverify GND station setup</t>
  </si>
  <si>
    <t xml:space="preserve">Bench setup</t>
  </si>
  <si>
    <t xml:space="preserve">Practice run-through of SCT-2</t>
  </si>
  <si>
    <t xml:space="preserve">Full SCT2 runthrough</t>
  </si>
  <si>
    <t xml:space="preserve">Testing and troubleshooting</t>
  </si>
  <si>
    <t xml:space="preserve">Post-test documentation review</t>
  </si>
  <si>
    <t xml:space="preserve">TOTALS:</t>
  </si>
  <si>
    <t xml:space="preserve">Target</t>
  </si>
  <si>
    <t xml:space="preserve">Difference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</si>
</sst>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\/d"/>
    <numFmt numFmtId="166" formatCode="0%"/>
    <numFmt numFmtId="167" formatCode="General"/>
  </numFmts>
  <fonts count="18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0"/>
      <charset val="1"/>
    </font>
    <font>
      <b val="true"/>
      <sz val="10"/>
      <color theme="1"/>
      <name val="Lato"/>
      <family val="0"/>
      <charset val="1"/>
    </font>
    <font>
      <b val="true"/>
      <sz val="11"/>
      <color theme="1"/>
      <name val="Lato"/>
      <family val="0"/>
      <charset val="1"/>
    </font>
    <font>
      <sz val="10"/>
      <color theme="1"/>
      <name val="Arial"/>
      <family val="0"/>
      <charset val="1"/>
    </font>
    <font>
      <sz val="10"/>
      <color rgb="FF000000"/>
      <name val="Lato"/>
      <family val="0"/>
      <charset val="1"/>
    </font>
    <font>
      <sz val="10"/>
      <color rgb="FF000000"/>
      <name val="Lato, Arial"/>
      <family val="0"/>
      <charset val="1"/>
    </font>
    <font>
      <b val="true"/>
      <sz val="10"/>
      <color rgb="FF000000"/>
      <name val="Lato, Arial"/>
      <family val="0"/>
      <charset val="1"/>
    </font>
    <font>
      <sz val="10"/>
      <color theme="1"/>
      <name val="Lato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Lato"/>
      <family val="0"/>
      <charset val="1"/>
    </font>
    <font>
      <sz val="11"/>
      <color theme="1"/>
      <name val="Lato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D9D9D9"/>
        <bgColor rgb="FFC9DAF8"/>
      </patternFill>
    </fill>
    <fill>
      <patternFill patternType="solid">
        <fgColor rgb="FFBFBFBF"/>
        <bgColor rgb="FFB7B7B7"/>
      </patternFill>
    </fill>
    <fill>
      <patternFill patternType="solid">
        <fgColor rgb="FF92D050"/>
        <bgColor rgb="FF57BB8A"/>
      </patternFill>
    </fill>
    <fill>
      <patternFill patternType="solid">
        <fgColor rgb="FFFFFFFF"/>
        <bgColor rgb="FFF3F3F3"/>
      </patternFill>
    </fill>
    <fill>
      <patternFill patternType="solid">
        <fgColor rgb="FFFFC000"/>
        <bgColor rgb="FFFBBC04"/>
      </patternFill>
    </fill>
    <fill>
      <patternFill patternType="solid">
        <fgColor rgb="FFC9DAF8"/>
        <bgColor rgb="FFD9D9D9"/>
      </patternFill>
    </fill>
    <fill>
      <patternFill patternType="solid">
        <fgColor rgb="FFB7B7B7"/>
        <bgColor rgb="FFBFBFBF"/>
      </patternFill>
    </fill>
    <fill>
      <patternFill patternType="solid">
        <fgColor rgb="FFA6A6A6"/>
        <bgColor rgb="FFB7B7B7"/>
      </patternFill>
    </fill>
    <fill>
      <patternFill patternType="solid">
        <fgColor rgb="FFEFEFEF"/>
        <bgColor rgb="FFF3F3F3"/>
      </patternFill>
    </fill>
    <fill>
      <patternFill patternType="solid">
        <fgColor rgb="FFF3F3F3"/>
        <bgColor rgb="FFEFEFEF"/>
      </patternFill>
    </fill>
    <fill>
      <patternFill patternType="solid">
        <fgColor rgb="FF7F7F7F"/>
        <bgColor rgb="FF666699"/>
      </patternFill>
    </fill>
    <fill>
      <patternFill patternType="solid">
        <fgColor rgb="FFB7E1CD"/>
        <bgColor rgb="FFC9DAF8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C0006"/>
      </patternFill>
    </fill>
    <fill>
      <patternFill patternType="solid">
        <fgColor rgb="FFF9CB9C"/>
        <bgColor rgb="FFFFC7CE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 style="thin">
        <color rgb="FFA6A6A6"/>
      </left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thick"/>
      <top/>
      <bottom style="medium"/>
      <diagonal/>
    </border>
    <border diagonalUp="false" diagonalDown="false">
      <left style="thick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>
        <color rgb="FFA6A6A6"/>
      </right>
      <top style="medium"/>
      <bottom style="medium"/>
      <diagonal/>
    </border>
    <border diagonalUp="false" diagonalDown="false">
      <left style="thin">
        <color rgb="FFA6A6A6"/>
      </left>
      <right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A6A6A6"/>
      </left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A6A6A6"/>
      </left>
      <right/>
      <top style="medium"/>
      <bottom style="medium"/>
      <diagonal/>
    </border>
    <border diagonalUp="false" diagonalDown="false">
      <left/>
      <right style="thick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/>
      <right/>
      <top style="thick"/>
      <bottom style="thick"/>
      <diagonal/>
    </border>
    <border diagonalUp="false" diagonalDown="false">
      <left/>
      <right style="thick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3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6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7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7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6" fillId="7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8" fillId="8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7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9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7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13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4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11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5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4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6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7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6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2">
    <dxf>
      <font>
        <color rgb="FFEFEFEF"/>
      </font>
    </dxf>
    <dxf>
      <font>
        <color rgb="FFFFFFFF"/>
      </font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ont>
        <color rgb="FFF3F3F3"/>
      </font>
    </dxf>
    <dxf>
      <fill>
        <patternFill>
          <bgColor rgb="FFB7E1CD"/>
        </patternFill>
      </fill>
    </dxf>
    <dxf>
      <fill>
        <patternFill>
          <bgColor rgb="FF00B050"/>
        </patternFill>
      </fill>
    </dxf>
    <dxf>
      <fill>
        <patternFill>
          <bgColor rgb="FFF9C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9DAF8"/>
        </patternFill>
      </fill>
    </dxf>
    <dxf>
      <fill>
        <patternFill>
          <bgColor rgb="FFFBBC04"/>
        </patternFill>
      </fill>
    </dxf>
    <dxf>
      <fill>
        <patternFill>
          <bgColor rgb="FFFF0000"/>
        </patternFill>
      </fill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ont>
        <color rgb="FFF3F3F3"/>
      </font>
    </dxf>
    <dxf>
      <fill>
        <patternFill>
          <bgColor rgb="FFB7E1CD"/>
        </patternFill>
      </fill>
    </dxf>
    <dxf>
      <fill>
        <patternFill>
          <bgColor rgb="FF00B050"/>
        </patternFill>
      </fill>
    </dxf>
    <dxf>
      <fill>
        <patternFill>
          <bgColor rgb="FFF9C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9DAF8"/>
        </patternFill>
      </fill>
    </dxf>
    <dxf>
      <fill>
        <patternFill>
          <bgColor rgb="FFFBBC04"/>
        </patternFill>
      </fill>
    </dxf>
    <dxf>
      <fill>
        <patternFill>
          <bgColor rgb="FFFF0000"/>
        </patternFill>
      </fill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ont>
        <color rgb="FFF3F3F3"/>
      </font>
    </dxf>
    <dxf>
      <fill>
        <patternFill>
          <bgColor rgb="FFB7E1CD"/>
        </patternFill>
      </fill>
    </dxf>
    <dxf>
      <fill>
        <patternFill>
          <bgColor rgb="FF00B050"/>
        </patternFill>
      </fill>
    </dxf>
    <dxf>
      <fill>
        <patternFill>
          <bgColor rgb="FFF9C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9DAF8"/>
        </patternFill>
      </fill>
    </dxf>
    <dxf>
      <fill>
        <patternFill>
          <bgColor rgb="FFFBBC04"/>
        </patternFill>
      </fill>
    </dxf>
    <dxf>
      <fill>
        <patternFill>
          <bgColor rgb="FFFF0000"/>
        </patternFill>
      </fill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ont>
        <color rgb="FFF3F3F3"/>
      </font>
    </dxf>
    <dxf>
      <fill>
        <patternFill>
          <bgColor rgb="FFB7E1CD"/>
        </patternFill>
      </fill>
    </dxf>
    <dxf>
      <fill>
        <patternFill>
          <bgColor rgb="FF00B050"/>
        </patternFill>
      </fill>
    </dxf>
    <dxf>
      <fill>
        <patternFill>
          <bgColor rgb="FFF9C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9DAF8"/>
        </patternFill>
      </fill>
    </dxf>
    <dxf>
      <fill>
        <patternFill>
          <bgColor rgb="FFFBBC04"/>
        </patternFill>
      </fill>
    </dxf>
    <dxf>
      <fill>
        <patternFill>
          <bgColor rgb="FFFF0000"/>
        </patternFill>
      </fill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ont>
        <color rgb="FFF3F3F3"/>
      </font>
    </dxf>
    <dxf>
      <fill>
        <patternFill>
          <bgColor rgb="FFB7E1CD"/>
        </patternFill>
      </fill>
    </dxf>
    <dxf>
      <fill>
        <patternFill>
          <bgColor rgb="FF00B050"/>
        </patternFill>
      </fill>
    </dxf>
    <dxf>
      <fill>
        <patternFill>
          <bgColor rgb="FFF9C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9DAF8"/>
        </patternFill>
      </fill>
    </dxf>
    <dxf>
      <fill>
        <patternFill>
          <bgColor rgb="FFFBBC04"/>
        </patternFill>
      </fill>
    </dxf>
    <dxf>
      <fill>
        <patternFill>
          <bgColor rgb="FFFF0000"/>
        </patternFill>
      </fill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ont>
        <color rgb="FFEFEFEF"/>
      </font>
    </dxf>
    <dxf>
      <font>
        <color rgb="FFEFEFEF"/>
      </font>
    </dxf>
    <dxf>
      <font>
        <color rgb="FFEFEFEF"/>
      </font>
    </dxf>
    <dxf>
      <font>
        <color rgb="FFEFEFEF"/>
      </font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ont>
        <color rgb="FFF3F3F3"/>
      </font>
    </dxf>
    <dxf>
      <fill>
        <patternFill>
          <bgColor rgb="FFB7E1CD"/>
        </patternFill>
      </fill>
    </dxf>
    <dxf>
      <fill>
        <patternFill>
          <bgColor rgb="FF00B050"/>
        </patternFill>
      </fill>
    </dxf>
    <dxf>
      <fill>
        <patternFill>
          <bgColor rgb="FFF9C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9DAF8"/>
        </patternFill>
      </fill>
    </dxf>
    <dxf>
      <fill>
        <patternFill>
          <bgColor rgb="FFFBBC04"/>
        </patternFill>
      </fill>
    </dxf>
    <dxf>
      <fill>
        <patternFill>
          <bgColor rgb="FFFF0000"/>
        </patternFill>
      </fill>
    </dxf>
    <dxf>
      <font>
        <color rgb="FFEFEFEF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3F3F3"/>
      <rgbColor rgb="FFEFEFE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B7E1CD"/>
      <rgbColor rgb="FFFFEB9C"/>
      <rgbColor rgb="FFB7B7B7"/>
      <rgbColor rgb="FFEA9999"/>
      <rgbColor rgb="FFFFC7CE"/>
      <rgbColor rgb="FFF9CB9C"/>
      <rgbColor rgb="FF3366FF"/>
      <rgbColor rgb="FF57BB8A"/>
      <rgbColor rgb="FF92D050"/>
      <rgbColor rgb="FFFFC000"/>
      <rgbColor rgb="FFFBBC04"/>
      <rgbColor rgb="FFFF6600"/>
      <rgbColor rgb="FF666699"/>
      <rgbColor rgb="FFA6A6A6"/>
      <rgbColor rgb="FF003366"/>
      <rgbColor rgb="FF00B050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3" activePane="bottomLeft" state="frozen"/>
      <selection pane="topLeft" activeCell="A1" activeCellId="0" sqref="A1"/>
      <selection pane="bottomLeft" activeCell="G13" activeCellId="0" sqref="G13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.28"/>
    <col collapsed="false" customWidth="true" hidden="false" outlineLevel="0" max="3" min="3" style="1" width="44"/>
    <col collapsed="false" customWidth="true" hidden="false" outlineLevel="0" max="5" min="4" style="1" width="12.29"/>
    <col collapsed="false" customWidth="true" hidden="false" outlineLevel="0" max="23" min="6" style="1" width="8.71"/>
    <col collapsed="false" customWidth="true" hidden="false" outlineLevel="0" max="24" min="24" style="1" width="21.71"/>
    <col collapsed="false" customWidth="true" hidden="false" outlineLevel="0" max="25" min="25" style="1" width="56"/>
    <col collapsed="false" customWidth="true" hidden="false" outlineLevel="0" max="26" min="26" style="1" width="25.71"/>
    <col collapsed="false" customWidth="true" hidden="false" outlineLevel="0" max="27" min="27" style="1" width="12.29"/>
    <col collapsed="false" customWidth="true" hidden="false" outlineLevel="0" max="28" min="28" style="1" width="27.14"/>
  </cols>
  <sheetData>
    <row r="1" customFormat="false" ht="18.75" hidden="false" customHeight="true" outlineLevel="0" collapsed="false">
      <c r="A1" s="2"/>
      <c r="B1" s="2"/>
      <c r="C1" s="2"/>
      <c r="D1" s="3" t="s">
        <v>0</v>
      </c>
      <c r="E1" s="3"/>
      <c r="F1" s="4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6"/>
      <c r="Z1" s="6"/>
      <c r="AA1" s="6"/>
      <c r="AB1" s="6"/>
    </row>
    <row r="2" customFormat="false" ht="18.75" hidden="false" customHeight="true" outlineLevel="0" collapsed="false">
      <c r="A2" s="7"/>
      <c r="B2" s="7"/>
      <c r="C2" s="7"/>
      <c r="D2" s="8" t="s">
        <v>2</v>
      </c>
      <c r="E2" s="8" t="s">
        <v>3</v>
      </c>
      <c r="F2" s="9" t="n">
        <v>46258</v>
      </c>
      <c r="G2" s="10" t="n">
        <f aca="false">F2+7</f>
        <v>46265</v>
      </c>
      <c r="H2" s="11" t="n">
        <f aca="false">G2+7</f>
        <v>46272</v>
      </c>
      <c r="I2" s="12" t="n">
        <f aca="false">H2+7</f>
        <v>46279</v>
      </c>
      <c r="J2" s="13" t="n">
        <f aca="false">I2+7</f>
        <v>46286</v>
      </c>
      <c r="K2" s="14" t="n">
        <f aca="false">J2+7</f>
        <v>46293</v>
      </c>
      <c r="L2" s="13" t="n">
        <f aca="false">K2+7</f>
        <v>46300</v>
      </c>
      <c r="M2" s="15" t="n">
        <f aca="false">L2+7</f>
        <v>46307</v>
      </c>
      <c r="N2" s="13" t="n">
        <f aca="false">M2+7</f>
        <v>46314</v>
      </c>
      <c r="O2" s="13" t="n">
        <f aca="false">N2+7</f>
        <v>46321</v>
      </c>
      <c r="P2" s="14" t="n">
        <f aca="false">O2+7</f>
        <v>46328</v>
      </c>
      <c r="Q2" s="13" t="n">
        <f aca="false">P2+7</f>
        <v>46335</v>
      </c>
      <c r="R2" s="14" t="n">
        <f aca="false">Q2+7</f>
        <v>46342</v>
      </c>
      <c r="S2" s="15" t="n">
        <f aca="false">R2+7</f>
        <v>46349</v>
      </c>
      <c r="T2" s="14" t="n">
        <f aca="false">S2+7</f>
        <v>46356</v>
      </c>
      <c r="U2" s="15" t="n">
        <f aca="false">T2+7</f>
        <v>46363</v>
      </c>
      <c r="V2" s="15" t="n">
        <f aca="false">U2+7</f>
        <v>46370</v>
      </c>
      <c r="W2" s="14"/>
      <c r="X2" s="16" t="s">
        <v>4</v>
      </c>
      <c r="Y2" s="17" t="s">
        <v>5</v>
      </c>
      <c r="Z2" s="17" t="s">
        <v>6</v>
      </c>
      <c r="AA2" s="18"/>
      <c r="AB2" s="18"/>
    </row>
    <row r="3" customFormat="false" ht="18.75" hidden="false" customHeight="true" outlineLevel="0" collapsed="false">
      <c r="A3" s="19" t="s">
        <v>7</v>
      </c>
      <c r="B3" s="19"/>
      <c r="C3" s="20" t="n">
        <f aca="false">D3/$D$56</f>
        <v>0.364016736401674</v>
      </c>
      <c r="D3" s="21" t="n">
        <f aca="false">D4+D7+D11+D14</f>
        <v>87</v>
      </c>
      <c r="E3" s="22" t="n">
        <f aca="false">SUM(F3:W3)</f>
        <v>32</v>
      </c>
      <c r="F3" s="23" t="n">
        <f aca="false">F4+F7+F11+F14</f>
        <v>14</v>
      </c>
      <c r="G3" s="23" t="n">
        <f aca="false">G4+G7+G11+G14</f>
        <v>8</v>
      </c>
      <c r="H3" s="23" t="n">
        <f aca="false">H4+H7+H11+H14</f>
        <v>10</v>
      </c>
      <c r="I3" s="23" t="n">
        <f aca="false">I4+I7+I11+I14</f>
        <v>0</v>
      </c>
      <c r="J3" s="23" t="n">
        <f aca="false">J4+J7+J11+J14</f>
        <v>0</v>
      </c>
      <c r="K3" s="23" t="n">
        <f aca="false">K4+K7+K11+K14</f>
        <v>0</v>
      </c>
      <c r="L3" s="23" t="n">
        <f aca="false">L4+L7+L11+L14</f>
        <v>0</v>
      </c>
      <c r="M3" s="23" t="n">
        <f aca="false">M4+M7+M11+M14</f>
        <v>0</v>
      </c>
      <c r="N3" s="23" t="n">
        <f aca="false">N4+N7+N11+N14</f>
        <v>0</v>
      </c>
      <c r="O3" s="23" t="n">
        <f aca="false">O4+O7+O11+O14</f>
        <v>0</v>
      </c>
      <c r="P3" s="23" t="n">
        <f aca="false">P4+P7+P11+P14</f>
        <v>0</v>
      </c>
      <c r="Q3" s="23" t="n">
        <f aca="false">Q4+Q7+Q11+Q14</f>
        <v>0</v>
      </c>
      <c r="R3" s="23" t="n">
        <f aca="false">R4+R7+R11+R14</f>
        <v>0</v>
      </c>
      <c r="S3" s="23" t="n">
        <f aca="false">S4+S7+S11+S14</f>
        <v>0</v>
      </c>
      <c r="T3" s="23" t="n">
        <f aca="false">T4+T7+T11+T14</f>
        <v>0</v>
      </c>
      <c r="U3" s="23" t="n">
        <f aca="false">U4+U7+U11+U14</f>
        <v>0</v>
      </c>
      <c r="V3" s="23" t="n">
        <f aca="false">V4+V7+V11+V14</f>
        <v>0</v>
      </c>
      <c r="W3" s="24"/>
      <c r="X3" s="25"/>
      <c r="Y3" s="6"/>
      <c r="Z3" s="26" t="s">
        <v>8</v>
      </c>
      <c r="AA3" s="27" t="s">
        <v>9</v>
      </c>
      <c r="AB3" s="28"/>
    </row>
    <row r="4" customFormat="false" ht="18.75" hidden="false" customHeight="true" outlineLevel="0" collapsed="false">
      <c r="A4" s="29"/>
      <c r="B4" s="30" t="s">
        <v>10</v>
      </c>
      <c r="C4" s="30"/>
      <c r="D4" s="31" t="n">
        <f aca="false">SUM(D5:D6)</f>
        <v>35</v>
      </c>
      <c r="E4" s="32" t="n">
        <f aca="false">SUM(F4:W4)</f>
        <v>9</v>
      </c>
      <c r="F4" s="33" t="n">
        <f aca="false">SUM(F5:F6)</f>
        <v>3</v>
      </c>
      <c r="G4" s="33" t="n">
        <f aca="false">SUM(G5:G6)</f>
        <v>3</v>
      </c>
      <c r="H4" s="33" t="n">
        <f aca="false">SUM(H5:H6)</f>
        <v>3</v>
      </c>
      <c r="I4" s="33" t="n">
        <f aca="false">SUM(I5:I6)</f>
        <v>0</v>
      </c>
      <c r="J4" s="33" t="n">
        <f aca="false">SUM(J5:J6)</f>
        <v>0</v>
      </c>
      <c r="K4" s="33" t="n">
        <f aca="false">SUM(K5:K6)</f>
        <v>0</v>
      </c>
      <c r="L4" s="33" t="n">
        <f aca="false">SUM(L5:L6)</f>
        <v>0</v>
      </c>
      <c r="M4" s="33" t="n">
        <f aca="false">SUM(M5:M6)</f>
        <v>0</v>
      </c>
      <c r="N4" s="33" t="n">
        <f aca="false">SUM(N5:N6)</f>
        <v>0</v>
      </c>
      <c r="O4" s="33" t="n">
        <f aca="false">SUM(O5:O6)</f>
        <v>0</v>
      </c>
      <c r="P4" s="33" t="n">
        <f aca="false">SUM(P5:P6)</f>
        <v>0</v>
      </c>
      <c r="Q4" s="33" t="n">
        <f aca="false">SUM(Q5:Q6)</f>
        <v>0</v>
      </c>
      <c r="R4" s="33" t="n">
        <f aca="false">SUM(R5:R6)</f>
        <v>0</v>
      </c>
      <c r="S4" s="33" t="n">
        <f aca="false">SUM(S5:S6)</f>
        <v>0</v>
      </c>
      <c r="T4" s="33" t="n">
        <f aca="false">SUM(T5:T6)</f>
        <v>0</v>
      </c>
      <c r="U4" s="33" t="n">
        <f aca="false">SUM(U5:U6)</f>
        <v>0</v>
      </c>
      <c r="V4" s="33" t="n">
        <f aca="false">SUM(V5:V6)</f>
        <v>0</v>
      </c>
      <c r="W4" s="34" t="n">
        <f aca="false">SUM(W5:W6)</f>
        <v>0</v>
      </c>
      <c r="X4" s="35" t="s">
        <v>11</v>
      </c>
      <c r="Y4" s="6"/>
      <c r="Z4" s="36" t="s">
        <v>12</v>
      </c>
      <c r="AA4" s="37" t="s">
        <v>9</v>
      </c>
      <c r="AB4" s="38" t="s">
        <v>13</v>
      </c>
    </row>
    <row r="5" customFormat="false" ht="18.75" hidden="false" customHeight="true" outlineLevel="0" collapsed="false">
      <c r="A5" s="29"/>
      <c r="B5" s="39"/>
      <c r="C5" s="40" t="s">
        <v>14</v>
      </c>
      <c r="D5" s="41" t="n">
        <v>15</v>
      </c>
      <c r="E5" s="32" t="n">
        <f aca="false">SUM(F5:W5)</f>
        <v>3</v>
      </c>
      <c r="F5" s="42" t="n">
        <v>1</v>
      </c>
      <c r="G5" s="33" t="n">
        <v>1</v>
      </c>
      <c r="H5" s="33" t="n">
        <v>1</v>
      </c>
      <c r="I5" s="33"/>
      <c r="J5" s="33"/>
      <c r="K5" s="33"/>
      <c r="L5" s="33"/>
      <c r="M5" s="33"/>
      <c r="N5" s="33"/>
      <c r="O5" s="33"/>
      <c r="P5" s="33"/>
      <c r="Q5" s="33"/>
      <c r="R5" s="33"/>
      <c r="S5" s="43"/>
      <c r="T5" s="33"/>
      <c r="U5" s="33"/>
      <c r="V5" s="33"/>
      <c r="W5" s="33"/>
      <c r="X5" s="35" t="s">
        <v>15</v>
      </c>
      <c r="Y5" s="6"/>
      <c r="Z5" s="44" t="s">
        <v>16</v>
      </c>
      <c r="AA5" s="45" t="s">
        <v>9</v>
      </c>
      <c r="AB5" s="28" t="s">
        <v>17</v>
      </c>
    </row>
    <row r="6" customFormat="false" ht="18.75" hidden="false" customHeight="true" outlineLevel="0" collapsed="false">
      <c r="A6" s="46"/>
      <c r="B6" s="47"/>
      <c r="C6" s="48" t="s">
        <v>18</v>
      </c>
      <c r="D6" s="49" t="n">
        <v>20</v>
      </c>
      <c r="E6" s="50" t="n">
        <f aca="false">SUM(F6:W6)</f>
        <v>6</v>
      </c>
      <c r="F6" s="51" t="n">
        <v>2</v>
      </c>
      <c r="G6" s="52" t="n">
        <v>2</v>
      </c>
      <c r="H6" s="52" t="n">
        <v>2</v>
      </c>
      <c r="I6" s="52"/>
      <c r="J6" s="52"/>
      <c r="K6" s="52"/>
      <c r="L6" s="52"/>
      <c r="M6" s="52"/>
      <c r="N6" s="52"/>
      <c r="O6" s="52"/>
      <c r="P6" s="52"/>
      <c r="Q6" s="52"/>
      <c r="R6" s="52"/>
      <c r="S6" s="53"/>
      <c r="T6" s="52"/>
      <c r="U6" s="52"/>
      <c r="V6" s="52"/>
      <c r="W6" s="52"/>
      <c r="X6" s="54" t="s">
        <v>15</v>
      </c>
      <c r="Y6" s="6"/>
      <c r="Z6" s="36" t="s">
        <v>19</v>
      </c>
      <c r="AA6" s="55" t="s">
        <v>9</v>
      </c>
      <c r="AB6" s="6"/>
    </row>
    <row r="7" customFormat="false" ht="18.75" hidden="false" customHeight="true" outlineLevel="0" collapsed="false">
      <c r="A7" s="29"/>
      <c r="B7" s="30" t="s">
        <v>20</v>
      </c>
      <c r="C7" s="30"/>
      <c r="D7" s="31" t="n">
        <f aca="false">SUM(D8:D10)</f>
        <v>33</v>
      </c>
      <c r="E7" s="32" t="n">
        <f aca="false">SUM(F7:W7)</f>
        <v>10</v>
      </c>
      <c r="F7" s="56" t="n">
        <f aca="false">SUM(F8:F10)</f>
        <v>4</v>
      </c>
      <c r="G7" s="56" t="n">
        <f aca="false">SUM(G8:G10)</f>
        <v>3</v>
      </c>
      <c r="H7" s="56" t="n">
        <f aca="false">SUM(H8:H10)</f>
        <v>3</v>
      </c>
      <c r="I7" s="56" t="n">
        <f aca="false">SUM(I8:I10)</f>
        <v>0</v>
      </c>
      <c r="J7" s="56" t="n">
        <f aca="false">SUM(J8:J10)</f>
        <v>0</v>
      </c>
      <c r="K7" s="56" t="n">
        <f aca="false">SUM(K8:K10)</f>
        <v>0</v>
      </c>
      <c r="L7" s="56" t="n">
        <f aca="false">SUM(L8:L10)</f>
        <v>0</v>
      </c>
      <c r="M7" s="56" t="n">
        <f aca="false">SUM(M8:M10)</f>
        <v>0</v>
      </c>
      <c r="N7" s="56" t="n">
        <f aca="false">SUM(N8:N10)</f>
        <v>0</v>
      </c>
      <c r="O7" s="56" t="n">
        <f aca="false">SUM(O8:O10)</f>
        <v>0</v>
      </c>
      <c r="P7" s="56" t="n">
        <f aca="false">SUM(P8:P10)</f>
        <v>0</v>
      </c>
      <c r="Q7" s="56" t="n">
        <f aca="false">SUM(Q8:Q10)</f>
        <v>0</v>
      </c>
      <c r="R7" s="56" t="n">
        <f aca="false">SUM(R8:R10)</f>
        <v>0</v>
      </c>
      <c r="S7" s="56" t="n">
        <f aca="false">SUM(S8:S10)</f>
        <v>0</v>
      </c>
      <c r="T7" s="56" t="n">
        <f aca="false">SUM(T8:T10)</f>
        <v>0</v>
      </c>
      <c r="U7" s="56" t="n">
        <f aca="false">SUM(U8:U10)</f>
        <v>0</v>
      </c>
      <c r="V7" s="56" t="n">
        <f aca="false">SUM(V8:V10)</f>
        <v>0</v>
      </c>
      <c r="W7" s="34" t="n">
        <f aca="false">SUM(W8:W10)</f>
        <v>0</v>
      </c>
      <c r="X7" s="35" t="s">
        <v>15</v>
      </c>
      <c r="Y7" s="6"/>
      <c r="Z7" s="36" t="s">
        <v>21</v>
      </c>
      <c r="AA7" s="57" t="s">
        <v>9</v>
      </c>
      <c r="AB7" s="6"/>
    </row>
    <row r="8" customFormat="false" ht="18.75" hidden="false" customHeight="true" outlineLevel="0" collapsed="false">
      <c r="A8" s="29"/>
      <c r="B8" s="39"/>
      <c r="C8" s="40" t="s">
        <v>18</v>
      </c>
      <c r="D8" s="41" t="n">
        <v>9</v>
      </c>
      <c r="E8" s="32" t="n">
        <f aca="false">SUM(F8:W8)</f>
        <v>3</v>
      </c>
      <c r="F8" s="42" t="n">
        <v>1</v>
      </c>
      <c r="G8" s="33" t="n">
        <v>1</v>
      </c>
      <c r="H8" s="33" t="n">
        <v>1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43"/>
      <c r="T8" s="33"/>
      <c r="U8" s="33"/>
      <c r="V8" s="33"/>
      <c r="W8" s="33"/>
      <c r="X8" s="35" t="s">
        <v>15</v>
      </c>
      <c r="Y8" s="6"/>
      <c r="Z8" s="36" t="s">
        <v>22</v>
      </c>
      <c r="AA8" s="58" t="s">
        <v>9</v>
      </c>
      <c r="AB8" s="6"/>
    </row>
    <row r="9" customFormat="false" ht="18.75" hidden="false" customHeight="true" outlineLevel="0" collapsed="false">
      <c r="A9" s="29"/>
      <c r="B9" s="39"/>
      <c r="C9" s="40" t="s">
        <v>23</v>
      </c>
      <c r="D9" s="41" t="n">
        <v>12</v>
      </c>
      <c r="E9" s="32" t="n">
        <f aca="false">SUM(F9:W9)</f>
        <v>3</v>
      </c>
      <c r="F9" s="42" t="n">
        <v>1</v>
      </c>
      <c r="G9" s="33" t="n">
        <v>1</v>
      </c>
      <c r="H9" s="33" t="n">
        <v>1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43"/>
      <c r="T9" s="33"/>
      <c r="U9" s="33"/>
      <c r="V9" s="33"/>
      <c r="W9" s="33"/>
      <c r="X9" s="35" t="s">
        <v>15</v>
      </c>
      <c r="Y9" s="6"/>
      <c r="Z9" s="59"/>
      <c r="AA9" s="60"/>
      <c r="AB9" s="6"/>
    </row>
    <row r="10" customFormat="false" ht="18.75" hidden="false" customHeight="true" outlineLevel="0" collapsed="false">
      <c r="A10" s="46"/>
      <c r="B10" s="47"/>
      <c r="C10" s="48" t="s">
        <v>24</v>
      </c>
      <c r="D10" s="49" t="n">
        <v>12</v>
      </c>
      <c r="E10" s="50" t="n">
        <f aca="false">SUM(F10:W10)</f>
        <v>4</v>
      </c>
      <c r="F10" s="51" t="n">
        <v>2</v>
      </c>
      <c r="G10" s="52" t="n">
        <v>1</v>
      </c>
      <c r="H10" s="52" t="n">
        <v>1</v>
      </c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3"/>
      <c r="T10" s="52"/>
      <c r="U10" s="52"/>
      <c r="V10" s="52"/>
      <c r="W10" s="52"/>
      <c r="X10" s="54" t="s">
        <v>15</v>
      </c>
      <c r="Y10" s="6"/>
      <c r="Z10" s="59"/>
      <c r="AA10" s="28"/>
      <c r="AB10" s="6"/>
    </row>
    <row r="11" customFormat="false" ht="18.75" hidden="false" customHeight="true" outlineLevel="0" collapsed="false">
      <c r="A11" s="29"/>
      <c r="B11" s="30" t="s">
        <v>25</v>
      </c>
      <c r="C11" s="30"/>
      <c r="D11" s="31" t="n">
        <f aca="false">SUM(D12:D13)</f>
        <v>15</v>
      </c>
      <c r="E11" s="32" t="n">
        <f aca="false">SUM(F11:W11)</f>
        <v>13</v>
      </c>
      <c r="F11" s="56" t="n">
        <f aca="false">SUM(F12:F13)</f>
        <v>7</v>
      </c>
      <c r="G11" s="56" t="n">
        <f aca="false">SUM(G12:G13)</f>
        <v>2</v>
      </c>
      <c r="H11" s="56" t="n">
        <f aca="false">SUM(H12:H13)</f>
        <v>4</v>
      </c>
      <c r="I11" s="56" t="n">
        <f aca="false">SUM(I12:I13)</f>
        <v>0</v>
      </c>
      <c r="J11" s="56" t="n">
        <f aca="false">SUM(J12:J13)</f>
        <v>0</v>
      </c>
      <c r="K11" s="56" t="n">
        <f aca="false">SUM(K12:K13)</f>
        <v>0</v>
      </c>
      <c r="L11" s="56" t="n">
        <f aca="false">SUM(L12:L13)</f>
        <v>0</v>
      </c>
      <c r="M11" s="56" t="n">
        <f aca="false">SUM(M12:M13)</f>
        <v>0</v>
      </c>
      <c r="N11" s="56" t="n">
        <f aca="false">SUM(N12:N13)</f>
        <v>0</v>
      </c>
      <c r="O11" s="56" t="n">
        <f aca="false">SUM(O12:O13)</f>
        <v>0</v>
      </c>
      <c r="P11" s="56" t="n">
        <f aca="false">SUM(P12:P13)</f>
        <v>0</v>
      </c>
      <c r="Q11" s="56" t="n">
        <f aca="false">SUM(Q12:Q13)</f>
        <v>0</v>
      </c>
      <c r="R11" s="56" t="n">
        <f aca="false">SUM(R12:R13)</f>
        <v>0</v>
      </c>
      <c r="S11" s="56" t="n">
        <f aca="false">SUM(S12:S13)</f>
        <v>0</v>
      </c>
      <c r="T11" s="56" t="n">
        <f aca="false">SUM(T12:T13)</f>
        <v>0</v>
      </c>
      <c r="U11" s="56" t="n">
        <f aca="false">SUM(U12:U13)</f>
        <v>0</v>
      </c>
      <c r="V11" s="56" t="n">
        <f aca="false">SUM(V12:V13)</f>
        <v>0</v>
      </c>
      <c r="W11" s="34" t="n">
        <f aca="false">SUM(W12:W13)</f>
        <v>0</v>
      </c>
      <c r="X11" s="35" t="s">
        <v>15</v>
      </c>
      <c r="Y11" s="6"/>
      <c r="Z11" s="36" t="s">
        <v>11</v>
      </c>
      <c r="AA11" s="61" t="s">
        <v>11</v>
      </c>
      <c r="AB11" s="6"/>
    </row>
    <row r="12" customFormat="false" ht="18.75" hidden="false" customHeight="true" outlineLevel="0" collapsed="false">
      <c r="A12" s="29"/>
      <c r="B12" s="39"/>
      <c r="C12" s="40" t="s">
        <v>26</v>
      </c>
      <c r="D12" s="41" t="n">
        <v>3</v>
      </c>
      <c r="E12" s="32" t="n">
        <f aca="false">SUM(F12:W12)</f>
        <v>3</v>
      </c>
      <c r="F12" s="42" t="n">
        <v>3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43"/>
      <c r="T12" s="33"/>
      <c r="U12" s="33"/>
      <c r="V12" s="33"/>
      <c r="W12" s="33"/>
      <c r="X12" s="35" t="s">
        <v>15</v>
      </c>
      <c r="Y12" s="6"/>
      <c r="Z12" s="62" t="s">
        <v>27</v>
      </c>
      <c r="AA12" s="45" t="s">
        <v>16</v>
      </c>
      <c r="AB12" s="6"/>
    </row>
    <row r="13" customFormat="false" ht="18.75" hidden="false" customHeight="true" outlineLevel="0" collapsed="false">
      <c r="A13" s="46"/>
      <c r="B13" s="47"/>
      <c r="C13" s="48" t="s">
        <v>28</v>
      </c>
      <c r="D13" s="49" t="n">
        <v>12</v>
      </c>
      <c r="E13" s="50" t="n">
        <f aca="false">SUM(F13:W13)</f>
        <v>10</v>
      </c>
      <c r="F13" s="51" t="n">
        <v>4</v>
      </c>
      <c r="G13" s="52" t="n">
        <v>2</v>
      </c>
      <c r="H13" s="52" t="n">
        <v>4</v>
      </c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3"/>
      <c r="T13" s="52"/>
      <c r="U13" s="52"/>
      <c r="V13" s="52"/>
      <c r="W13" s="52"/>
      <c r="X13" s="54" t="s">
        <v>15</v>
      </c>
      <c r="Y13" s="6"/>
      <c r="Z13" s="36" t="s">
        <v>19</v>
      </c>
      <c r="AA13" s="63" t="s">
        <v>29</v>
      </c>
      <c r="AB13" s="6"/>
    </row>
    <row r="14" customFormat="false" ht="18.75" hidden="false" customHeight="true" outlineLevel="0" collapsed="false">
      <c r="A14" s="29"/>
      <c r="B14" s="30" t="s">
        <v>30</v>
      </c>
      <c r="C14" s="30"/>
      <c r="D14" s="31" t="n">
        <f aca="false">SUM(D15:D16)</f>
        <v>4</v>
      </c>
      <c r="E14" s="32" t="n">
        <f aca="false">SUM(F14:W14)</f>
        <v>0</v>
      </c>
      <c r="F14" s="56" t="n">
        <f aca="false">SUM(F15:F16)</f>
        <v>0</v>
      </c>
      <c r="G14" s="56" t="n">
        <f aca="false">SUM(G15:G16)</f>
        <v>0</v>
      </c>
      <c r="H14" s="56" t="n">
        <f aca="false">SUM(H15:H16)</f>
        <v>0</v>
      </c>
      <c r="I14" s="56" t="n">
        <f aca="false">SUM(I15:I16)</f>
        <v>0</v>
      </c>
      <c r="J14" s="56" t="n">
        <f aca="false">SUM(J15:J16)</f>
        <v>0</v>
      </c>
      <c r="K14" s="56" t="n">
        <f aca="false">SUM(K15:K16)</f>
        <v>0</v>
      </c>
      <c r="L14" s="56" t="n">
        <f aca="false">SUM(L15:L16)</f>
        <v>0</v>
      </c>
      <c r="M14" s="56" t="n">
        <f aca="false">SUM(M15:M16)</f>
        <v>0</v>
      </c>
      <c r="N14" s="56" t="n">
        <f aca="false">SUM(N15:N16)</f>
        <v>0</v>
      </c>
      <c r="O14" s="56" t="n">
        <f aca="false">SUM(O15:O16)</f>
        <v>0</v>
      </c>
      <c r="P14" s="56" t="n">
        <f aca="false">SUM(P15:P16)</f>
        <v>0</v>
      </c>
      <c r="Q14" s="56" t="n">
        <f aca="false">SUM(Q15:Q16)</f>
        <v>0</v>
      </c>
      <c r="R14" s="56" t="n">
        <f aca="false">SUM(R15:R16)</f>
        <v>0</v>
      </c>
      <c r="S14" s="56" t="n">
        <f aca="false">SUM(S15:S16)</f>
        <v>0</v>
      </c>
      <c r="T14" s="56" t="n">
        <f aca="false">SUM(T15:T16)</f>
        <v>0</v>
      </c>
      <c r="U14" s="56" t="n">
        <f aca="false">SUM(U15:U16)</f>
        <v>0</v>
      </c>
      <c r="V14" s="56" t="n">
        <f aca="false">SUM(V15:V16)</f>
        <v>0</v>
      </c>
      <c r="W14" s="34" t="n">
        <f aca="false">SUM(W15:W16)</f>
        <v>0</v>
      </c>
      <c r="X14" s="35" t="s">
        <v>11</v>
      </c>
      <c r="Y14" s="6"/>
      <c r="Z14" s="36" t="s">
        <v>31</v>
      </c>
      <c r="AA14" s="64" t="s">
        <v>32</v>
      </c>
      <c r="AB14" s="6"/>
    </row>
    <row r="15" customFormat="false" ht="18.75" hidden="false" customHeight="true" outlineLevel="0" collapsed="false">
      <c r="A15" s="29"/>
      <c r="B15" s="39"/>
      <c r="C15" s="40" t="s">
        <v>33</v>
      </c>
      <c r="D15" s="41" t="n">
        <v>2</v>
      </c>
      <c r="E15" s="32" t="n">
        <f aca="false">SUM(F15:W15)</f>
        <v>0</v>
      </c>
      <c r="F15" s="42"/>
      <c r="G15" s="33"/>
      <c r="H15" s="33"/>
      <c r="I15" s="33"/>
      <c r="J15" s="33"/>
      <c r="K15" s="33"/>
      <c r="L15" s="33"/>
      <c r="M15" s="65"/>
      <c r="N15" s="33"/>
      <c r="O15" s="37"/>
      <c r="P15" s="33"/>
      <c r="Q15" s="33"/>
      <c r="R15" s="33"/>
      <c r="S15" s="43"/>
      <c r="T15" s="33"/>
      <c r="U15" s="33"/>
      <c r="V15" s="33"/>
      <c r="W15" s="33"/>
      <c r="X15" s="35" t="s">
        <v>11</v>
      </c>
      <c r="Y15" s="6"/>
      <c r="Z15" s="36" t="s">
        <v>34</v>
      </c>
      <c r="AA15" s="57" t="s">
        <v>21</v>
      </c>
      <c r="AB15" s="6"/>
    </row>
    <row r="16" customFormat="false" ht="18.75" hidden="false" customHeight="true" outlineLevel="0" collapsed="false">
      <c r="A16" s="46"/>
      <c r="B16" s="47"/>
      <c r="C16" s="48" t="s">
        <v>35</v>
      </c>
      <c r="D16" s="49" t="n">
        <v>2</v>
      </c>
      <c r="E16" s="50" t="n">
        <f aca="false">SUM(F16:W16)</f>
        <v>0</v>
      </c>
      <c r="F16" s="51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3"/>
      <c r="T16" s="52"/>
      <c r="U16" s="66"/>
      <c r="V16" s="52"/>
      <c r="W16" s="52"/>
      <c r="X16" s="54" t="s">
        <v>11</v>
      </c>
      <c r="Y16" s="6"/>
      <c r="Z16" s="36" t="s">
        <v>36</v>
      </c>
      <c r="AA16" s="58" t="s">
        <v>22</v>
      </c>
      <c r="AB16" s="6"/>
    </row>
    <row r="17" customFormat="false" ht="18.75" hidden="false" customHeight="true" outlineLevel="0" collapsed="false">
      <c r="A17" s="67" t="s">
        <v>37</v>
      </c>
      <c r="B17" s="67"/>
      <c r="C17" s="20" t="n">
        <f aca="false">D17/$D$56</f>
        <v>0.292887029288703</v>
      </c>
      <c r="D17" s="21" t="n">
        <f aca="false">D18+D21+D23+D26</f>
        <v>70</v>
      </c>
      <c r="E17" s="22" t="n">
        <f aca="false">SUM(F17:W17)</f>
        <v>5</v>
      </c>
      <c r="F17" s="68" t="n">
        <f aca="false">F18+F21+F23+F26</f>
        <v>1</v>
      </c>
      <c r="G17" s="68" t="n">
        <f aca="false">G18+G21+G23+G26</f>
        <v>2</v>
      </c>
      <c r="H17" s="68" t="n">
        <f aca="false">H18+H21+H23+H26</f>
        <v>2</v>
      </c>
      <c r="I17" s="68" t="n">
        <f aca="false">I18+I21+I23+I26</f>
        <v>0</v>
      </c>
      <c r="J17" s="68" t="n">
        <f aca="false">J18+J21+J23+J26</f>
        <v>0</v>
      </c>
      <c r="K17" s="68" t="n">
        <f aca="false">K18+K21+K23+K26</f>
        <v>0</v>
      </c>
      <c r="L17" s="68" t="n">
        <f aca="false">L18+L21+L23+L26</f>
        <v>0</v>
      </c>
      <c r="M17" s="68" t="n">
        <f aca="false">M18+M21+M23+M26</f>
        <v>0</v>
      </c>
      <c r="N17" s="68" t="n">
        <f aca="false">N18+N21+N23+N26</f>
        <v>0</v>
      </c>
      <c r="O17" s="68" t="n">
        <f aca="false">O18+O21+O23+O26</f>
        <v>0</v>
      </c>
      <c r="P17" s="68" t="n">
        <f aca="false">P18+P21+P23+P26</f>
        <v>0</v>
      </c>
      <c r="Q17" s="68" t="n">
        <f aca="false">Q18+Q21+Q23+Q26</f>
        <v>0</v>
      </c>
      <c r="R17" s="68" t="n">
        <f aca="false">R18+R21+R23+R26</f>
        <v>0</v>
      </c>
      <c r="S17" s="68" t="n">
        <f aca="false">S18+S21+S23+S26</f>
        <v>0</v>
      </c>
      <c r="T17" s="68" t="n">
        <f aca="false">T18+T21+T23+T26</f>
        <v>0</v>
      </c>
      <c r="U17" s="68" t="n">
        <f aca="false">U18+U21+U23+U26</f>
        <v>0</v>
      </c>
      <c r="V17" s="68" t="n">
        <f aca="false">V18+V21+V23+V26</f>
        <v>0</v>
      </c>
      <c r="W17" s="69"/>
      <c r="X17" s="70"/>
      <c r="Y17" s="6"/>
      <c r="AA17" s="71"/>
      <c r="AB17" s="6"/>
    </row>
    <row r="18" customFormat="false" ht="18.75" hidden="false" customHeight="true" outlineLevel="0" collapsed="false">
      <c r="A18" s="29"/>
      <c r="B18" s="30" t="s">
        <v>38</v>
      </c>
      <c r="C18" s="30"/>
      <c r="D18" s="31" t="n">
        <f aca="false">SUM(D19:D20)</f>
        <v>4</v>
      </c>
      <c r="E18" s="32" t="n">
        <f aca="false">SUM(F18:W18)</f>
        <v>4</v>
      </c>
      <c r="F18" s="56" t="n">
        <f aca="false">SUM(F19:F20)</f>
        <v>1</v>
      </c>
      <c r="G18" s="56" t="n">
        <f aca="false">SUM(G19:G20)</f>
        <v>2</v>
      </c>
      <c r="H18" s="56" t="n">
        <f aca="false">SUM(H19:H20)</f>
        <v>1</v>
      </c>
      <c r="I18" s="56" t="n">
        <f aca="false">SUM(I19:I20)</f>
        <v>0</v>
      </c>
      <c r="J18" s="56" t="n">
        <f aca="false">SUM(J19:J20)</f>
        <v>0</v>
      </c>
      <c r="K18" s="56" t="n">
        <f aca="false">SUM(K19:K20)</f>
        <v>0</v>
      </c>
      <c r="L18" s="56" t="n">
        <f aca="false">SUM(L19:L20)</f>
        <v>0</v>
      </c>
      <c r="M18" s="56" t="n">
        <f aca="false">SUM(M19:M20)</f>
        <v>0</v>
      </c>
      <c r="N18" s="56" t="n">
        <f aca="false">SUM(N19:N20)</f>
        <v>0</v>
      </c>
      <c r="O18" s="56" t="n">
        <f aca="false">SUM(O19:O20)</f>
        <v>0</v>
      </c>
      <c r="P18" s="56" t="n">
        <f aca="false">SUM(P19:P20)</f>
        <v>0</v>
      </c>
      <c r="Q18" s="56" t="n">
        <f aca="false">SUM(Q19:Q20)</f>
        <v>0</v>
      </c>
      <c r="R18" s="56" t="n">
        <f aca="false">SUM(R19:R20)</f>
        <v>0</v>
      </c>
      <c r="S18" s="56" t="n">
        <f aca="false">SUM(S19:S20)</f>
        <v>0</v>
      </c>
      <c r="T18" s="56" t="n">
        <f aca="false">SUM(T19:T20)</f>
        <v>0</v>
      </c>
      <c r="U18" s="56" t="n">
        <f aca="false">SUM(U19:U20)</f>
        <v>0</v>
      </c>
      <c r="V18" s="56" t="n">
        <f aca="false">SUM(V19:V20)</f>
        <v>0</v>
      </c>
      <c r="W18" s="56" t="n">
        <f aca="false">SUM(W19:W20)</f>
        <v>0</v>
      </c>
      <c r="X18" s="35" t="s">
        <v>16</v>
      </c>
      <c r="Y18" s="6"/>
      <c r="Z18" s="72" t="s">
        <v>39</v>
      </c>
      <c r="AA18" s="72"/>
      <c r="AB18" s="6"/>
    </row>
    <row r="19" customFormat="false" ht="18.75" hidden="false" customHeight="true" outlineLevel="0" collapsed="false">
      <c r="A19" s="29"/>
      <c r="B19" s="39"/>
      <c r="C19" s="40" t="s">
        <v>40</v>
      </c>
      <c r="D19" s="41" t="n">
        <v>2</v>
      </c>
      <c r="E19" s="32" t="n">
        <f aca="false">SUM(F19:W19)</f>
        <v>2</v>
      </c>
      <c r="F19" s="33" t="n">
        <v>1</v>
      </c>
      <c r="G19" s="73" t="n">
        <v>1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43"/>
      <c r="T19" s="33"/>
      <c r="U19" s="33"/>
      <c r="V19" s="33"/>
      <c r="W19" s="33"/>
      <c r="X19" s="35" t="s">
        <v>16</v>
      </c>
      <c r="Y19" s="6"/>
      <c r="Z19" s="74" t="s">
        <v>41</v>
      </c>
      <c r="AA19" s="74"/>
      <c r="AB19" s="6"/>
    </row>
    <row r="20" customFormat="false" ht="18.75" hidden="false" customHeight="true" outlineLevel="0" collapsed="false">
      <c r="A20" s="46"/>
      <c r="B20" s="47"/>
      <c r="C20" s="48" t="s">
        <v>42</v>
      </c>
      <c r="D20" s="49" t="n">
        <v>2</v>
      </c>
      <c r="E20" s="50" t="n">
        <f aca="false">SUM(F20:W20)</f>
        <v>2</v>
      </c>
      <c r="F20" s="51"/>
      <c r="G20" s="52" t="n">
        <v>1</v>
      </c>
      <c r="H20" s="73" t="n">
        <v>1</v>
      </c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3"/>
      <c r="T20" s="52"/>
      <c r="U20" s="52"/>
      <c r="V20" s="52"/>
      <c r="W20" s="52"/>
      <c r="X20" s="54" t="s">
        <v>16</v>
      </c>
      <c r="Y20" s="6"/>
      <c r="Z20" s="74"/>
      <c r="AA20" s="74"/>
      <c r="AB20" s="6"/>
    </row>
    <row r="21" customFormat="false" ht="18.75" hidden="false" customHeight="true" outlineLevel="0" collapsed="false">
      <c r="A21" s="29"/>
      <c r="B21" s="30" t="s">
        <v>43</v>
      </c>
      <c r="C21" s="30"/>
      <c r="D21" s="31" t="n">
        <v>6</v>
      </c>
      <c r="E21" s="32" t="n">
        <f aca="false">SUM(F21:W21)</f>
        <v>1</v>
      </c>
      <c r="F21" s="56" t="n">
        <f aca="false">SUM(F22)</f>
        <v>0</v>
      </c>
      <c r="G21" s="56" t="n">
        <f aca="false">SUM(G22)</f>
        <v>0</v>
      </c>
      <c r="H21" s="56" t="n">
        <f aca="false">SUM(H22)</f>
        <v>1</v>
      </c>
      <c r="I21" s="56" t="n">
        <f aca="false">SUM(I22)</f>
        <v>0</v>
      </c>
      <c r="J21" s="56" t="n">
        <f aca="false">SUM(J22)</f>
        <v>0</v>
      </c>
      <c r="K21" s="56" t="n">
        <f aca="false">SUM(K22)</f>
        <v>0</v>
      </c>
      <c r="L21" s="56" t="n">
        <f aca="false">SUM(L22)</f>
        <v>0</v>
      </c>
      <c r="M21" s="56" t="n">
        <f aca="false">SUM(M22)</f>
        <v>0</v>
      </c>
      <c r="N21" s="56" t="n">
        <f aca="false">SUM(N22)</f>
        <v>0</v>
      </c>
      <c r="O21" s="56" t="n">
        <f aca="false">SUM(O22)</f>
        <v>0</v>
      </c>
      <c r="P21" s="56" t="n">
        <f aca="false">SUM(P22)</f>
        <v>0</v>
      </c>
      <c r="Q21" s="56" t="n">
        <f aca="false">SUM(Q22)</f>
        <v>0</v>
      </c>
      <c r="R21" s="56" t="n">
        <f aca="false">SUM(R22)</f>
        <v>0</v>
      </c>
      <c r="S21" s="56" t="n">
        <f aca="false">SUM(S22)</f>
        <v>0</v>
      </c>
      <c r="T21" s="56" t="n">
        <f aca="false">SUM(T22)</f>
        <v>0</v>
      </c>
      <c r="U21" s="56" t="n">
        <f aca="false">SUM(U22)</f>
        <v>0</v>
      </c>
      <c r="V21" s="56" t="n">
        <f aca="false">SUM(V22)</f>
        <v>0</v>
      </c>
      <c r="W21" s="56" t="n">
        <f aca="false">SUM(W22)</f>
        <v>0</v>
      </c>
      <c r="X21" s="35" t="s">
        <v>11</v>
      </c>
      <c r="Y21" s="6"/>
      <c r="Z21" s="75" t="s">
        <v>44</v>
      </c>
      <c r="AA21" s="75"/>
      <c r="AB21" s="6"/>
    </row>
    <row r="22" customFormat="false" ht="18.75" hidden="false" customHeight="true" outlineLevel="0" collapsed="false">
      <c r="A22" s="29"/>
      <c r="B22" s="39"/>
      <c r="C22" s="40" t="s">
        <v>45</v>
      </c>
      <c r="D22" s="41" t="n">
        <v>6</v>
      </c>
      <c r="E22" s="32" t="n">
        <f aca="false">SUM(F22:W22)</f>
        <v>1</v>
      </c>
      <c r="F22" s="42"/>
      <c r="G22" s="33"/>
      <c r="H22" s="33" t="n">
        <v>1</v>
      </c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43"/>
      <c r="T22" s="33"/>
      <c r="U22" s="33"/>
      <c r="V22" s="33"/>
      <c r="W22" s="33"/>
      <c r="X22" s="35" t="s">
        <v>11</v>
      </c>
      <c r="Y22" s="6"/>
      <c r="Z22" s="75"/>
      <c r="AA22" s="75"/>
      <c r="AB22" s="6"/>
    </row>
    <row r="23" customFormat="false" ht="18.75" hidden="false" customHeight="true" outlineLevel="0" collapsed="false">
      <c r="A23" s="29"/>
      <c r="B23" s="30" t="s">
        <v>46</v>
      </c>
      <c r="C23" s="30"/>
      <c r="D23" s="31" t="n">
        <f aca="false">SUM(D24:D25)</f>
        <v>15</v>
      </c>
      <c r="E23" s="32" t="n">
        <f aca="false">SUM(F23:W23)</f>
        <v>0</v>
      </c>
      <c r="F23" s="56" t="n">
        <f aca="false">SUM(F24:F25)</f>
        <v>0</v>
      </c>
      <c r="G23" s="34" t="n">
        <f aca="false">SUM(G24:G25)</f>
        <v>0</v>
      </c>
      <c r="H23" s="34" t="n">
        <f aca="false">SUM(H24:H25)</f>
        <v>0</v>
      </c>
      <c r="I23" s="34" t="n">
        <f aca="false">SUM(I24:I25)</f>
        <v>0</v>
      </c>
      <c r="J23" s="34" t="n">
        <f aca="false">SUM(J24:J25)</f>
        <v>0</v>
      </c>
      <c r="K23" s="34" t="n">
        <f aca="false">SUM(K24:K25)</f>
        <v>0</v>
      </c>
      <c r="L23" s="34"/>
      <c r="M23" s="34"/>
      <c r="N23" s="34"/>
      <c r="O23" s="34"/>
      <c r="P23" s="76"/>
      <c r="Q23" s="34"/>
      <c r="R23" s="76"/>
      <c r="S23" s="43"/>
      <c r="T23" s="34"/>
      <c r="U23" s="34"/>
      <c r="V23" s="34"/>
      <c r="W23" s="34" t="n">
        <f aca="false">SUM(W24:W25)</f>
        <v>0</v>
      </c>
      <c r="X23" s="35" t="s">
        <v>11</v>
      </c>
      <c r="Y23" s="6"/>
      <c r="Z23" s="6"/>
      <c r="AA23" s="6"/>
      <c r="AB23" s="6"/>
    </row>
    <row r="24" customFormat="false" ht="18.75" hidden="false" customHeight="true" outlineLevel="0" collapsed="false">
      <c r="A24" s="29"/>
      <c r="B24" s="39"/>
      <c r="C24" s="40" t="s">
        <v>33</v>
      </c>
      <c r="D24" s="41" t="n">
        <v>5</v>
      </c>
      <c r="E24" s="32" t="n">
        <f aca="false">SUM(F24:W24)</f>
        <v>0</v>
      </c>
      <c r="F24" s="42"/>
      <c r="G24" s="33"/>
      <c r="H24" s="33"/>
      <c r="I24" s="33"/>
      <c r="J24" s="33"/>
      <c r="K24" s="33"/>
      <c r="L24" s="33"/>
      <c r="M24" s="77"/>
      <c r="N24" s="33"/>
      <c r="O24" s="33"/>
      <c r="P24" s="33"/>
      <c r="Q24" s="33"/>
      <c r="R24" s="33"/>
      <c r="S24" s="43"/>
      <c r="T24" s="33"/>
      <c r="U24" s="33"/>
      <c r="V24" s="33"/>
      <c r="W24" s="33"/>
      <c r="X24" s="35" t="s">
        <v>11</v>
      </c>
      <c r="Y24" s="6"/>
      <c r="Z24" s="6"/>
      <c r="AA24" s="6"/>
      <c r="AB24" s="6"/>
    </row>
    <row r="25" customFormat="false" ht="18.75" hidden="false" customHeight="true" outlineLevel="0" collapsed="false">
      <c r="A25" s="46"/>
      <c r="B25" s="47"/>
      <c r="C25" s="48" t="s">
        <v>35</v>
      </c>
      <c r="D25" s="49" t="n">
        <v>10</v>
      </c>
      <c r="E25" s="50" t="n">
        <f aca="false">SUM(F25:W25)</f>
        <v>0</v>
      </c>
      <c r="F25" s="51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3"/>
      <c r="T25" s="52"/>
      <c r="U25" s="77"/>
      <c r="V25" s="52"/>
      <c r="W25" s="52"/>
      <c r="X25" s="54" t="s">
        <v>11</v>
      </c>
      <c r="Y25" s="6"/>
      <c r="Z25" s="6"/>
      <c r="AA25" s="6"/>
      <c r="AB25" s="6"/>
    </row>
    <row r="26" customFormat="false" ht="18.75" hidden="false" customHeight="true" outlineLevel="0" collapsed="false">
      <c r="A26" s="29"/>
      <c r="B26" s="30" t="s">
        <v>47</v>
      </c>
      <c r="C26" s="30"/>
      <c r="D26" s="31" t="n">
        <f aca="false">SUM(D27:D28)</f>
        <v>45</v>
      </c>
      <c r="E26" s="32" t="n">
        <f aca="false">SUM(F26:W26)</f>
        <v>0</v>
      </c>
      <c r="F26" s="56" t="n">
        <f aca="false">SUM(F27:F28)</f>
        <v>0</v>
      </c>
      <c r="G26" s="34" t="n">
        <f aca="false">SUM(G27:G28)</f>
        <v>0</v>
      </c>
      <c r="H26" s="34" t="n">
        <f aca="false">SUM(H27:H28)</f>
        <v>0</v>
      </c>
      <c r="I26" s="34" t="n">
        <f aca="false">SUM(I27:I28)</f>
        <v>0</v>
      </c>
      <c r="J26" s="34" t="n">
        <f aca="false">SUM(J27:J28)</f>
        <v>0</v>
      </c>
      <c r="K26" s="34" t="n">
        <f aca="false">SUM(K27:K28)</f>
        <v>0</v>
      </c>
      <c r="L26" s="34"/>
      <c r="M26" s="34"/>
      <c r="N26" s="34"/>
      <c r="O26" s="34"/>
      <c r="P26" s="76"/>
      <c r="Q26" s="34"/>
      <c r="R26" s="76"/>
      <c r="S26" s="43"/>
      <c r="T26" s="76"/>
      <c r="U26" s="76"/>
      <c r="V26" s="76"/>
      <c r="W26" s="34" t="n">
        <f aca="false">SUM(W27:W28)</f>
        <v>0</v>
      </c>
      <c r="X26" s="35" t="s">
        <v>11</v>
      </c>
      <c r="Y26" s="6"/>
      <c r="Z26" s="6"/>
      <c r="AA26" s="6"/>
      <c r="AB26" s="6"/>
    </row>
    <row r="27" customFormat="false" ht="18.75" hidden="false" customHeight="true" outlineLevel="0" collapsed="false">
      <c r="A27" s="29"/>
      <c r="B27" s="39"/>
      <c r="C27" s="40" t="s">
        <v>48</v>
      </c>
      <c r="D27" s="41" t="n">
        <v>15</v>
      </c>
      <c r="E27" s="32" t="n">
        <f aca="false">SUM(F27:W27)</f>
        <v>0</v>
      </c>
      <c r="F27" s="42"/>
      <c r="G27" s="33"/>
      <c r="H27" s="33"/>
      <c r="I27" s="33"/>
      <c r="J27" s="33"/>
      <c r="K27" s="33"/>
      <c r="L27" s="33"/>
      <c r="M27" s="33"/>
      <c r="N27" s="33"/>
      <c r="O27" s="33"/>
      <c r="P27" s="77"/>
      <c r="Q27" s="33"/>
      <c r="R27" s="77"/>
      <c r="S27" s="43"/>
      <c r="T27" s="33"/>
      <c r="U27" s="33"/>
      <c r="V27" s="33"/>
      <c r="W27" s="33"/>
      <c r="X27" s="35" t="s">
        <v>11</v>
      </c>
      <c r="Y27" s="6"/>
      <c r="Z27" s="6"/>
      <c r="AA27" s="6"/>
      <c r="AB27" s="6"/>
    </row>
    <row r="28" customFormat="false" ht="18.75" hidden="false" customHeight="true" outlineLevel="0" collapsed="false">
      <c r="A28" s="46"/>
      <c r="B28" s="47"/>
      <c r="C28" s="48" t="s">
        <v>47</v>
      </c>
      <c r="D28" s="49" t="n">
        <v>30</v>
      </c>
      <c r="E28" s="50" t="n">
        <f aca="false">SUM(F28:W28)</f>
        <v>0</v>
      </c>
      <c r="F28" s="51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3"/>
      <c r="T28" s="52"/>
      <c r="U28" s="52"/>
      <c r="V28" s="77"/>
      <c r="W28" s="52"/>
      <c r="X28" s="54" t="s">
        <v>11</v>
      </c>
      <c r="Y28" s="6"/>
      <c r="Z28" s="6"/>
      <c r="AA28" s="6"/>
      <c r="AB28" s="6"/>
    </row>
    <row r="29" customFormat="false" ht="18.75" hidden="false" customHeight="true" outlineLevel="0" collapsed="false">
      <c r="A29" s="67" t="s">
        <v>49</v>
      </c>
      <c r="B29" s="67"/>
      <c r="C29" s="20" t="n">
        <f aca="false">D29/$D$56</f>
        <v>0.343096234309623</v>
      </c>
      <c r="D29" s="21" t="n">
        <f aca="false">D30+D41+D47</f>
        <v>82</v>
      </c>
      <c r="E29" s="22" t="n">
        <f aca="false">SUM(F29:W29)</f>
        <v>5</v>
      </c>
      <c r="F29" s="68" t="n">
        <f aca="false">F30+F41+F47</f>
        <v>0</v>
      </c>
      <c r="G29" s="68" t="n">
        <f aca="false">G30+G41+G47</f>
        <v>2</v>
      </c>
      <c r="H29" s="68" t="n">
        <f aca="false">H30+H41+H47</f>
        <v>3</v>
      </c>
      <c r="I29" s="68" t="n">
        <f aca="false">I30+I41+I47</f>
        <v>0</v>
      </c>
      <c r="J29" s="68" t="n">
        <f aca="false">J30+J41+J47</f>
        <v>0</v>
      </c>
      <c r="K29" s="68" t="n">
        <f aca="false">K30+K41+K47</f>
        <v>0</v>
      </c>
      <c r="L29" s="68" t="n">
        <f aca="false">L30+L41+L47</f>
        <v>0</v>
      </c>
      <c r="M29" s="68" t="n">
        <f aca="false">M30+M41+M47</f>
        <v>0</v>
      </c>
      <c r="N29" s="68" t="n">
        <f aca="false">N30+N41+N47</f>
        <v>0</v>
      </c>
      <c r="O29" s="68" t="n">
        <f aca="false">O30+O41+O47</f>
        <v>0</v>
      </c>
      <c r="P29" s="68" t="n">
        <f aca="false">P30+P41+P47</f>
        <v>0</v>
      </c>
      <c r="Q29" s="68" t="n">
        <f aca="false">Q30+Q41+Q47</f>
        <v>0</v>
      </c>
      <c r="R29" s="68" t="n">
        <f aca="false">R30+R41+R47</f>
        <v>0</v>
      </c>
      <c r="S29" s="68" t="n">
        <f aca="false">S30+S41+S47</f>
        <v>0</v>
      </c>
      <c r="T29" s="68" t="n">
        <f aca="false">T30+T41+T47</f>
        <v>0</v>
      </c>
      <c r="U29" s="68" t="n">
        <f aca="false">U30+U41+U47</f>
        <v>0</v>
      </c>
      <c r="V29" s="68" t="n">
        <f aca="false">V30+V41+V47</f>
        <v>0</v>
      </c>
      <c r="W29" s="69"/>
      <c r="X29" s="70"/>
      <c r="Y29" s="6"/>
      <c r="Z29" s="6"/>
      <c r="AA29" s="6"/>
      <c r="AB29" s="6"/>
    </row>
    <row r="30" customFormat="false" ht="18.75" hidden="false" customHeight="true" outlineLevel="0" collapsed="false">
      <c r="A30" s="29"/>
      <c r="B30" s="30" t="s">
        <v>50</v>
      </c>
      <c r="C30" s="30"/>
      <c r="D30" s="31" t="n">
        <f aca="false">SUM(D31:D40)</f>
        <v>20</v>
      </c>
      <c r="E30" s="32" t="n">
        <f aca="false">SUM(F30:W30)</f>
        <v>1</v>
      </c>
      <c r="F30" s="56" t="n">
        <f aca="false">SUM(F31:F40)</f>
        <v>0</v>
      </c>
      <c r="G30" s="34" t="n">
        <f aca="false">SUM(G31:G40)</f>
        <v>0</v>
      </c>
      <c r="H30" s="34" t="n">
        <f aca="false">SUM(H31:H40)</f>
        <v>1</v>
      </c>
      <c r="I30" s="34" t="n">
        <f aca="false">SUM(I31:I40)</f>
        <v>0</v>
      </c>
      <c r="J30" s="34" t="n">
        <f aca="false">SUM(J31:J40)</f>
        <v>0</v>
      </c>
      <c r="K30" s="34" t="n">
        <f aca="false">SUM(K31:K40)</f>
        <v>0</v>
      </c>
      <c r="L30" s="34" t="n">
        <f aca="false">SUM(L31:L40)</f>
        <v>0</v>
      </c>
      <c r="M30" s="34" t="n">
        <f aca="false">SUM(M31:M40)</f>
        <v>0</v>
      </c>
      <c r="N30" s="34" t="n">
        <f aca="false">SUM(N31:N40)</f>
        <v>0</v>
      </c>
      <c r="O30" s="34" t="n">
        <f aca="false">SUM(O31:O40)</f>
        <v>0</v>
      </c>
      <c r="P30" s="34" t="n">
        <f aca="false">SUM(P31:P40)</f>
        <v>0</v>
      </c>
      <c r="Q30" s="34" t="n">
        <f aca="false">SUM(Q31:Q40)</f>
        <v>0</v>
      </c>
      <c r="R30" s="34" t="n">
        <f aca="false">SUM(R31:R40)</f>
        <v>0</v>
      </c>
      <c r="S30" s="34" t="n">
        <f aca="false">SUM(S31:S40)</f>
        <v>0</v>
      </c>
      <c r="T30" s="34" t="n">
        <f aca="false">SUM(T31:T40)</f>
        <v>0</v>
      </c>
      <c r="U30" s="34" t="n">
        <f aca="false">SUM(U31:U40)</f>
        <v>0</v>
      </c>
      <c r="V30" s="34" t="n">
        <f aca="false">SUM(V31:V40)</f>
        <v>0</v>
      </c>
      <c r="W30" s="34" t="n">
        <f aca="false">SUM(W31:W40)</f>
        <v>0</v>
      </c>
      <c r="X30" s="35" t="s">
        <v>11</v>
      </c>
      <c r="Y30" s="6"/>
      <c r="Z30" s="6"/>
      <c r="AA30" s="6"/>
      <c r="AB30" s="6"/>
    </row>
    <row r="31" customFormat="false" ht="18.75" hidden="false" customHeight="true" outlineLevel="0" collapsed="false">
      <c r="A31" s="29"/>
      <c r="B31" s="39"/>
      <c r="C31" s="40" t="s">
        <v>51</v>
      </c>
      <c r="D31" s="41" t="n">
        <v>1</v>
      </c>
      <c r="E31" s="32" t="n">
        <f aca="false">SUM(F31:W31)</f>
        <v>1</v>
      </c>
      <c r="F31" s="42"/>
      <c r="G31" s="33"/>
      <c r="H31" s="33" t="n">
        <v>1</v>
      </c>
      <c r="I31" s="77"/>
      <c r="J31" s="33"/>
      <c r="K31" s="33"/>
      <c r="L31" s="33"/>
      <c r="M31" s="33"/>
      <c r="N31" s="33"/>
      <c r="O31" s="33"/>
      <c r="P31" s="33"/>
      <c r="Q31" s="33"/>
      <c r="R31" s="33"/>
      <c r="S31" s="43"/>
      <c r="T31" s="33"/>
      <c r="U31" s="33"/>
      <c r="V31" s="33"/>
      <c r="W31" s="33"/>
      <c r="X31" s="78" t="s">
        <v>11</v>
      </c>
      <c r="Y31" s="6"/>
      <c r="Z31" s="6"/>
      <c r="AA31" s="6"/>
      <c r="AB31" s="6"/>
    </row>
    <row r="32" customFormat="false" ht="18.75" hidden="false" customHeight="true" outlineLevel="0" collapsed="false">
      <c r="A32" s="29"/>
      <c r="B32" s="39"/>
      <c r="C32" s="40" t="s">
        <v>52</v>
      </c>
      <c r="D32" s="41" t="n">
        <v>2</v>
      </c>
      <c r="E32" s="32" t="n">
        <f aca="false">SUM(F32:W32)</f>
        <v>0</v>
      </c>
      <c r="F32" s="42"/>
      <c r="G32" s="33"/>
      <c r="H32" s="33"/>
      <c r="I32" s="77"/>
      <c r="J32" s="33"/>
      <c r="K32" s="33"/>
      <c r="L32" s="33"/>
      <c r="M32" s="33"/>
      <c r="N32" s="33"/>
      <c r="O32" s="33"/>
      <c r="P32" s="33"/>
      <c r="Q32" s="33"/>
      <c r="R32" s="33"/>
      <c r="S32" s="43"/>
      <c r="T32" s="33"/>
      <c r="U32" s="33"/>
      <c r="V32" s="33"/>
      <c r="W32" s="33"/>
      <c r="X32" s="78" t="s">
        <v>11</v>
      </c>
      <c r="Y32" s="6"/>
      <c r="Z32" s="6"/>
      <c r="AA32" s="6"/>
      <c r="AB32" s="6"/>
    </row>
    <row r="33" customFormat="false" ht="18.75" hidden="false" customHeight="true" outlineLevel="0" collapsed="false">
      <c r="A33" s="29"/>
      <c r="B33" s="39"/>
      <c r="C33" s="40" t="s">
        <v>53</v>
      </c>
      <c r="D33" s="41" t="n">
        <v>2</v>
      </c>
      <c r="E33" s="32" t="n">
        <f aca="false">SUM(F33:W33)</f>
        <v>0</v>
      </c>
      <c r="F33" s="42"/>
      <c r="G33" s="33"/>
      <c r="H33" s="33"/>
      <c r="I33" s="77"/>
      <c r="J33" s="33"/>
      <c r="K33" s="33"/>
      <c r="L33" s="33"/>
      <c r="M33" s="33"/>
      <c r="N33" s="33"/>
      <c r="O33" s="33"/>
      <c r="P33" s="33"/>
      <c r="Q33" s="33"/>
      <c r="R33" s="33"/>
      <c r="S33" s="43"/>
      <c r="T33" s="33"/>
      <c r="U33" s="33"/>
      <c r="V33" s="33"/>
      <c r="W33" s="33"/>
      <c r="X33" s="78" t="s">
        <v>11</v>
      </c>
      <c r="Y33" s="6"/>
      <c r="Z33" s="6"/>
      <c r="AA33" s="6"/>
      <c r="AB33" s="6"/>
    </row>
    <row r="34" customFormat="false" ht="18.75" hidden="false" customHeight="true" outlineLevel="0" collapsed="false">
      <c r="A34" s="29"/>
      <c r="B34" s="39"/>
      <c r="C34" s="40" t="s">
        <v>54</v>
      </c>
      <c r="D34" s="41" t="n">
        <v>3</v>
      </c>
      <c r="E34" s="32" t="n">
        <f aca="false">SUM(F34:W34)</f>
        <v>0</v>
      </c>
      <c r="F34" s="42"/>
      <c r="G34" s="33"/>
      <c r="H34" s="33"/>
      <c r="I34" s="77"/>
      <c r="J34" s="33"/>
      <c r="K34" s="33"/>
      <c r="L34" s="33"/>
      <c r="M34" s="33"/>
      <c r="N34" s="33"/>
      <c r="O34" s="33"/>
      <c r="P34" s="33"/>
      <c r="Q34" s="33"/>
      <c r="R34" s="33"/>
      <c r="S34" s="43"/>
      <c r="T34" s="33"/>
      <c r="U34" s="33"/>
      <c r="V34" s="33"/>
      <c r="W34" s="33"/>
      <c r="X34" s="78" t="s">
        <v>11</v>
      </c>
      <c r="Y34" s="6"/>
      <c r="Z34" s="6"/>
      <c r="AA34" s="6"/>
      <c r="AB34" s="6"/>
    </row>
    <row r="35" customFormat="false" ht="18.75" hidden="false" customHeight="true" outlineLevel="0" collapsed="false">
      <c r="A35" s="29"/>
      <c r="B35" s="39"/>
      <c r="C35" s="40" t="s">
        <v>55</v>
      </c>
      <c r="D35" s="41" t="n">
        <v>2</v>
      </c>
      <c r="E35" s="32" t="n">
        <f aca="false">SUM(F35:W35)</f>
        <v>0</v>
      </c>
      <c r="F35" s="42"/>
      <c r="G35" s="33"/>
      <c r="H35" s="33"/>
      <c r="I35" s="77"/>
      <c r="J35" s="33"/>
      <c r="K35" s="33"/>
      <c r="L35" s="33"/>
      <c r="M35" s="33"/>
      <c r="N35" s="33"/>
      <c r="O35" s="33"/>
      <c r="P35" s="33"/>
      <c r="Q35" s="33"/>
      <c r="R35" s="33"/>
      <c r="S35" s="43"/>
      <c r="T35" s="33"/>
      <c r="U35" s="33"/>
      <c r="V35" s="33"/>
      <c r="W35" s="33"/>
      <c r="X35" s="78" t="s">
        <v>11</v>
      </c>
      <c r="Y35" s="6"/>
      <c r="Z35" s="6"/>
      <c r="AA35" s="6"/>
      <c r="AB35" s="6"/>
    </row>
    <row r="36" customFormat="false" ht="18.75" hidden="false" customHeight="true" outlineLevel="0" collapsed="false">
      <c r="A36" s="29"/>
      <c r="B36" s="39"/>
      <c r="C36" s="40" t="s">
        <v>56</v>
      </c>
      <c r="D36" s="41" t="n">
        <v>1</v>
      </c>
      <c r="E36" s="32" t="n">
        <f aca="false">SUM(F36:W36)</f>
        <v>0</v>
      </c>
      <c r="F36" s="42"/>
      <c r="G36" s="33"/>
      <c r="H36" s="33"/>
      <c r="I36" s="77"/>
      <c r="J36" s="33"/>
      <c r="K36" s="33"/>
      <c r="L36" s="33"/>
      <c r="M36" s="33"/>
      <c r="N36" s="33"/>
      <c r="O36" s="33"/>
      <c r="P36" s="33"/>
      <c r="Q36" s="33"/>
      <c r="R36" s="33"/>
      <c r="S36" s="43"/>
      <c r="T36" s="33"/>
      <c r="U36" s="33"/>
      <c r="V36" s="33"/>
      <c r="W36" s="33"/>
      <c r="X36" s="78" t="s">
        <v>11</v>
      </c>
      <c r="Y36" s="6"/>
      <c r="Z36" s="6"/>
      <c r="AA36" s="6"/>
      <c r="AB36" s="6"/>
    </row>
    <row r="37" customFormat="false" ht="18.75" hidden="false" customHeight="true" outlineLevel="0" collapsed="false">
      <c r="A37" s="29"/>
      <c r="B37" s="39"/>
      <c r="C37" s="40" t="s">
        <v>57</v>
      </c>
      <c r="D37" s="41" t="n">
        <v>2</v>
      </c>
      <c r="E37" s="32" t="n">
        <f aca="false">SUM(F37:W37)</f>
        <v>0</v>
      </c>
      <c r="F37" s="42"/>
      <c r="G37" s="33"/>
      <c r="H37" s="33"/>
      <c r="I37" s="77"/>
      <c r="J37" s="33"/>
      <c r="K37" s="33"/>
      <c r="L37" s="33"/>
      <c r="M37" s="33"/>
      <c r="N37" s="33"/>
      <c r="O37" s="33"/>
      <c r="P37" s="33"/>
      <c r="Q37" s="33"/>
      <c r="R37" s="33"/>
      <c r="S37" s="43"/>
      <c r="T37" s="33"/>
      <c r="U37" s="33"/>
      <c r="V37" s="33"/>
      <c r="W37" s="33"/>
      <c r="X37" s="78" t="s">
        <v>11</v>
      </c>
      <c r="Y37" s="6"/>
      <c r="Z37" s="6"/>
      <c r="AA37" s="6"/>
      <c r="AB37" s="6"/>
    </row>
    <row r="38" customFormat="false" ht="18.75" hidden="false" customHeight="true" outlineLevel="0" collapsed="false">
      <c r="A38" s="29"/>
      <c r="B38" s="39"/>
      <c r="C38" s="40" t="s">
        <v>58</v>
      </c>
      <c r="D38" s="41" t="n">
        <v>2</v>
      </c>
      <c r="E38" s="32" t="n">
        <f aca="false">SUM(F38:W38)</f>
        <v>0</v>
      </c>
      <c r="F38" s="42"/>
      <c r="G38" s="33"/>
      <c r="H38" s="33"/>
      <c r="I38" s="77"/>
      <c r="J38" s="33"/>
      <c r="K38" s="33"/>
      <c r="L38" s="33"/>
      <c r="M38" s="33"/>
      <c r="N38" s="33"/>
      <c r="O38" s="33"/>
      <c r="P38" s="33"/>
      <c r="Q38" s="33"/>
      <c r="R38" s="33"/>
      <c r="S38" s="43"/>
      <c r="T38" s="33"/>
      <c r="U38" s="33"/>
      <c r="V38" s="33"/>
      <c r="W38" s="33"/>
      <c r="X38" s="78" t="s">
        <v>11</v>
      </c>
      <c r="Y38" s="6"/>
      <c r="Z38" s="6"/>
      <c r="AA38" s="6"/>
      <c r="AB38" s="6"/>
    </row>
    <row r="39" customFormat="false" ht="18.75" hidden="false" customHeight="true" outlineLevel="0" collapsed="false">
      <c r="A39" s="29"/>
      <c r="B39" s="39"/>
      <c r="C39" s="40" t="s">
        <v>59</v>
      </c>
      <c r="D39" s="41" t="n">
        <v>3</v>
      </c>
      <c r="E39" s="32" t="n">
        <f aca="false">SUM(F39:W39)</f>
        <v>0</v>
      </c>
      <c r="F39" s="42"/>
      <c r="G39" s="33"/>
      <c r="H39" s="33"/>
      <c r="I39" s="77"/>
      <c r="J39" s="33"/>
      <c r="K39" s="33"/>
      <c r="L39" s="33"/>
      <c r="M39" s="33"/>
      <c r="N39" s="33"/>
      <c r="O39" s="33"/>
      <c r="P39" s="33"/>
      <c r="Q39" s="33"/>
      <c r="R39" s="33"/>
      <c r="S39" s="43"/>
      <c r="T39" s="33"/>
      <c r="U39" s="33"/>
      <c r="V39" s="33"/>
      <c r="W39" s="33"/>
      <c r="X39" s="78" t="s">
        <v>11</v>
      </c>
      <c r="Y39" s="6"/>
      <c r="Z39" s="6"/>
      <c r="AA39" s="6"/>
      <c r="AB39" s="6"/>
    </row>
    <row r="40" customFormat="false" ht="18.75" hidden="false" customHeight="true" outlineLevel="0" collapsed="false">
      <c r="A40" s="46"/>
      <c r="B40" s="47"/>
      <c r="C40" s="48" t="s">
        <v>60</v>
      </c>
      <c r="D40" s="49" t="n">
        <v>2</v>
      </c>
      <c r="E40" s="50" t="n">
        <f aca="false">SUM(F40:W40)</f>
        <v>0</v>
      </c>
      <c r="F40" s="51"/>
      <c r="G40" s="52"/>
      <c r="H40" s="52"/>
      <c r="I40" s="52"/>
      <c r="J40" s="52"/>
      <c r="K40" s="79"/>
      <c r="L40" s="52"/>
      <c r="M40" s="52"/>
      <c r="N40" s="52"/>
      <c r="O40" s="52"/>
      <c r="P40" s="52"/>
      <c r="Q40" s="52"/>
      <c r="R40" s="52"/>
      <c r="S40" s="53"/>
      <c r="T40" s="52"/>
      <c r="U40" s="52"/>
      <c r="V40" s="52"/>
      <c r="W40" s="52"/>
      <c r="X40" s="54" t="s">
        <v>11</v>
      </c>
      <c r="Y40" s="6"/>
      <c r="Z40" s="6"/>
      <c r="AA40" s="6"/>
      <c r="AB40" s="6"/>
    </row>
    <row r="41" customFormat="false" ht="18.75" hidden="false" customHeight="true" outlineLevel="0" collapsed="false">
      <c r="A41" s="29"/>
      <c r="B41" s="30" t="s">
        <v>61</v>
      </c>
      <c r="C41" s="30"/>
      <c r="D41" s="31" t="n">
        <f aca="false">SUM(D42:D46)</f>
        <v>30</v>
      </c>
      <c r="E41" s="32" t="n">
        <f aca="false">SUM(F41:W41)</f>
        <v>4</v>
      </c>
      <c r="F41" s="56" t="n">
        <f aca="false">SUM(F42:F46)</f>
        <v>0</v>
      </c>
      <c r="G41" s="34" t="n">
        <f aca="false">SUM(G42:G46)</f>
        <v>2</v>
      </c>
      <c r="H41" s="34" t="n">
        <f aca="false">SUM(H42:H46)</f>
        <v>2</v>
      </c>
      <c r="I41" s="34" t="n">
        <f aca="false">SUM(I42:I46)</f>
        <v>0</v>
      </c>
      <c r="J41" s="34" t="n">
        <f aca="false">SUM(J42:J46)</f>
        <v>0</v>
      </c>
      <c r="K41" s="34" t="n">
        <f aca="false">SUM(K42:K46)</f>
        <v>0</v>
      </c>
      <c r="L41" s="34" t="n">
        <f aca="false">SUM(L42:L46)</f>
        <v>0</v>
      </c>
      <c r="M41" s="34" t="n">
        <f aca="false">SUM(M42:M46)</f>
        <v>0</v>
      </c>
      <c r="N41" s="34" t="n">
        <f aca="false">SUM(N42:N46)</f>
        <v>0</v>
      </c>
      <c r="O41" s="34" t="n">
        <f aca="false">SUM(O42:O46)</f>
        <v>0</v>
      </c>
      <c r="P41" s="34" t="n">
        <f aca="false">SUM(P42:P46)</f>
        <v>0</v>
      </c>
      <c r="Q41" s="34" t="n">
        <f aca="false">SUM(Q42:Q46)</f>
        <v>0</v>
      </c>
      <c r="R41" s="34" t="n">
        <f aca="false">SUM(R42:R46)</f>
        <v>0</v>
      </c>
      <c r="S41" s="34" t="n">
        <f aca="false">SUM(S42:S46)</f>
        <v>0</v>
      </c>
      <c r="T41" s="34" t="n">
        <f aca="false">SUM(T42:T46)</f>
        <v>0</v>
      </c>
      <c r="U41" s="34" t="n">
        <f aca="false">SUM(U42:U46)</f>
        <v>0</v>
      </c>
      <c r="V41" s="34" t="n">
        <f aca="false">SUM(V42:V46)</f>
        <v>0</v>
      </c>
      <c r="W41" s="34" t="n">
        <f aca="false">SUM(W42:W46)</f>
        <v>0</v>
      </c>
      <c r="X41" s="35" t="s">
        <v>11</v>
      </c>
      <c r="Y41" s="6"/>
      <c r="Z41" s="6"/>
      <c r="AA41" s="6"/>
      <c r="AB41" s="6"/>
    </row>
    <row r="42" customFormat="false" ht="18.75" hidden="false" customHeight="true" outlineLevel="0" collapsed="false">
      <c r="A42" s="29"/>
      <c r="B42" s="39"/>
      <c r="C42" s="40" t="s">
        <v>62</v>
      </c>
      <c r="D42" s="41" t="n">
        <v>5</v>
      </c>
      <c r="E42" s="32" t="n">
        <f aca="false">SUM(F42:W42)</f>
        <v>0</v>
      </c>
      <c r="F42" s="42"/>
      <c r="G42" s="33"/>
      <c r="H42" s="33"/>
      <c r="I42" s="33"/>
      <c r="J42" s="33"/>
      <c r="K42" s="33"/>
      <c r="L42" s="33"/>
      <c r="M42" s="77"/>
      <c r="N42" s="33"/>
      <c r="O42" s="33"/>
      <c r="P42" s="33"/>
      <c r="Q42" s="33"/>
      <c r="R42" s="33"/>
      <c r="S42" s="43"/>
      <c r="T42" s="33"/>
      <c r="U42" s="33"/>
      <c r="V42" s="33"/>
      <c r="W42" s="33"/>
      <c r="X42" s="35" t="s">
        <v>11</v>
      </c>
      <c r="Y42" s="6"/>
      <c r="Z42" s="6"/>
      <c r="AA42" s="6"/>
      <c r="AB42" s="6"/>
    </row>
    <row r="43" customFormat="false" ht="18.75" hidden="false" customHeight="true" outlineLevel="0" collapsed="false">
      <c r="A43" s="29"/>
      <c r="B43" s="39"/>
      <c r="C43" s="40" t="s">
        <v>63</v>
      </c>
      <c r="D43" s="41" t="n">
        <v>5</v>
      </c>
      <c r="E43" s="32" t="n">
        <f aca="false">SUM(F43:W43)</f>
        <v>0</v>
      </c>
      <c r="F43" s="42"/>
      <c r="G43" s="33"/>
      <c r="H43" s="33"/>
      <c r="I43" s="33"/>
      <c r="J43" s="33"/>
      <c r="K43" s="33"/>
      <c r="L43" s="33"/>
      <c r="M43" s="77"/>
      <c r="N43" s="33"/>
      <c r="O43" s="33"/>
      <c r="P43" s="33"/>
      <c r="Q43" s="33"/>
      <c r="R43" s="33"/>
      <c r="S43" s="43"/>
      <c r="T43" s="33"/>
      <c r="U43" s="33"/>
      <c r="V43" s="33"/>
      <c r="W43" s="33"/>
      <c r="X43" s="35" t="s">
        <v>11</v>
      </c>
      <c r="Y43" s="6"/>
      <c r="Z43" s="6"/>
      <c r="AA43" s="6"/>
      <c r="AB43" s="6"/>
    </row>
    <row r="44" customFormat="false" ht="18.75" hidden="false" customHeight="true" outlineLevel="0" collapsed="false">
      <c r="A44" s="29"/>
      <c r="B44" s="39"/>
      <c r="C44" s="40" t="s">
        <v>64</v>
      </c>
      <c r="D44" s="41" t="n">
        <v>5</v>
      </c>
      <c r="E44" s="32" t="n">
        <f aca="false">SUM(F44:W44)</f>
        <v>0</v>
      </c>
      <c r="F44" s="42"/>
      <c r="G44" s="33"/>
      <c r="H44" s="33"/>
      <c r="I44" s="33"/>
      <c r="J44" s="33"/>
      <c r="K44" s="33"/>
      <c r="L44" s="33"/>
      <c r="M44" s="77"/>
      <c r="N44" s="33"/>
      <c r="O44" s="33"/>
      <c r="P44" s="33"/>
      <c r="Q44" s="33"/>
      <c r="R44" s="33"/>
      <c r="S44" s="43"/>
      <c r="T44" s="33"/>
      <c r="U44" s="33"/>
      <c r="V44" s="33"/>
      <c r="W44" s="33"/>
      <c r="X44" s="35" t="s">
        <v>11</v>
      </c>
      <c r="Y44" s="6"/>
      <c r="Z44" s="6"/>
      <c r="AA44" s="6"/>
      <c r="AB44" s="6"/>
    </row>
    <row r="45" customFormat="false" ht="18.75" hidden="false" customHeight="true" outlineLevel="0" collapsed="false">
      <c r="A45" s="29"/>
      <c r="B45" s="39"/>
      <c r="C45" s="40" t="s">
        <v>65</v>
      </c>
      <c r="D45" s="41" t="n">
        <v>5</v>
      </c>
      <c r="E45" s="32" t="n">
        <f aca="false">SUM(F45:W45)</f>
        <v>0</v>
      </c>
      <c r="F45" s="42"/>
      <c r="G45" s="33"/>
      <c r="H45" s="33"/>
      <c r="I45" s="33"/>
      <c r="J45" s="33"/>
      <c r="K45" s="33"/>
      <c r="L45" s="33"/>
      <c r="M45" s="77"/>
      <c r="N45" s="33"/>
      <c r="O45" s="33"/>
      <c r="P45" s="33"/>
      <c r="Q45" s="33"/>
      <c r="R45" s="33"/>
      <c r="S45" s="43"/>
      <c r="T45" s="33"/>
      <c r="U45" s="33"/>
      <c r="V45" s="33"/>
      <c r="W45" s="33"/>
      <c r="X45" s="35" t="s">
        <v>11</v>
      </c>
      <c r="Y45" s="6"/>
      <c r="Z45" s="6"/>
      <c r="AA45" s="6"/>
      <c r="AB45" s="6"/>
    </row>
    <row r="46" customFormat="false" ht="18.75" hidden="false" customHeight="true" outlineLevel="0" collapsed="false">
      <c r="A46" s="46"/>
      <c r="B46" s="47"/>
      <c r="C46" s="48" t="s">
        <v>66</v>
      </c>
      <c r="D46" s="49" t="n">
        <v>10</v>
      </c>
      <c r="E46" s="50" t="n">
        <f aca="false">SUM(F46:W46)</f>
        <v>4</v>
      </c>
      <c r="F46" s="51"/>
      <c r="G46" s="52" t="n">
        <v>2</v>
      </c>
      <c r="H46" s="52" t="n">
        <v>2</v>
      </c>
      <c r="I46" s="52"/>
      <c r="J46" s="52"/>
      <c r="K46" s="52"/>
      <c r="L46" s="52"/>
      <c r="M46" s="52"/>
      <c r="N46" s="79"/>
      <c r="O46" s="52"/>
      <c r="P46" s="52"/>
      <c r="Q46" s="52"/>
      <c r="R46" s="52"/>
      <c r="S46" s="53"/>
      <c r="T46" s="52"/>
      <c r="U46" s="52"/>
      <c r="V46" s="52"/>
      <c r="W46" s="52"/>
      <c r="X46" s="54" t="s">
        <v>11</v>
      </c>
      <c r="Y46" s="6"/>
      <c r="Z46" s="6"/>
      <c r="AA46" s="6"/>
      <c r="AB46" s="6"/>
    </row>
    <row r="47" customFormat="false" ht="18.75" hidden="false" customHeight="true" outlineLevel="0" collapsed="false">
      <c r="A47" s="29"/>
      <c r="B47" s="30" t="s">
        <v>67</v>
      </c>
      <c r="C47" s="30"/>
      <c r="D47" s="31" t="n">
        <f aca="false">SUM(D48:D55)</f>
        <v>32</v>
      </c>
      <c r="E47" s="32" t="n">
        <f aca="false">SUM(F47:W47)</f>
        <v>0</v>
      </c>
      <c r="F47" s="56" t="n">
        <f aca="false">SUM(F48:F55)</f>
        <v>0</v>
      </c>
      <c r="G47" s="34" t="n">
        <f aca="false">SUM(G48:G55)</f>
        <v>0</v>
      </c>
      <c r="H47" s="34" t="n">
        <f aca="false">SUM(H48:H55)</f>
        <v>0</v>
      </c>
      <c r="I47" s="34" t="n">
        <f aca="false">SUM(I48:I55)</f>
        <v>0</v>
      </c>
      <c r="J47" s="34" t="n">
        <f aca="false">SUM(J48:J55)</f>
        <v>0</v>
      </c>
      <c r="K47" s="34" t="n">
        <f aca="false">SUM(K48:K55)</f>
        <v>0</v>
      </c>
      <c r="L47" s="34" t="n">
        <f aca="false">SUM(L48:L55)</f>
        <v>0</v>
      </c>
      <c r="M47" s="34" t="n">
        <f aca="false">SUM(M48:M55)</f>
        <v>0</v>
      </c>
      <c r="N47" s="34" t="n">
        <f aca="false">SUM(N48:N55)</f>
        <v>0</v>
      </c>
      <c r="O47" s="34" t="n">
        <f aca="false">SUM(O48:O55)</f>
        <v>0</v>
      </c>
      <c r="P47" s="33" t="n">
        <f aca="false">SUM(P48:P55)</f>
        <v>0</v>
      </c>
      <c r="Q47" s="34" t="n">
        <f aca="false">SUM(Q48:Q55)</f>
        <v>0</v>
      </c>
      <c r="R47" s="33" t="n">
        <f aca="false">SUM(R48:R55)</f>
        <v>0</v>
      </c>
      <c r="S47" s="80" t="n">
        <f aca="false">SUM(S48:S55)</f>
        <v>0</v>
      </c>
      <c r="T47" s="33" t="n">
        <f aca="false">SUM(T48:T55)</f>
        <v>0</v>
      </c>
      <c r="U47" s="33" t="n">
        <f aca="false">SUM(U48:U55)</f>
        <v>0</v>
      </c>
      <c r="V47" s="33" t="n">
        <f aca="false">SUM(V48:V55)</f>
        <v>0</v>
      </c>
      <c r="W47" s="34" t="n">
        <f aca="false">SUM(W48:W55)</f>
        <v>0</v>
      </c>
      <c r="X47" s="35" t="s">
        <v>11</v>
      </c>
      <c r="Y47" s="6"/>
      <c r="Z47" s="6"/>
      <c r="AA47" s="6"/>
      <c r="AB47" s="6"/>
    </row>
    <row r="48" customFormat="false" ht="18.75" hidden="false" customHeight="true" outlineLevel="0" collapsed="false">
      <c r="A48" s="29"/>
      <c r="B48" s="39"/>
      <c r="C48" s="40" t="s">
        <v>68</v>
      </c>
      <c r="D48" s="41" t="n">
        <v>2</v>
      </c>
      <c r="E48" s="32" t="n">
        <f aca="false">SUM(F48:W48)</f>
        <v>0</v>
      </c>
      <c r="F48" s="42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43"/>
      <c r="T48" s="33"/>
      <c r="U48" s="33"/>
      <c r="V48" s="33"/>
      <c r="W48" s="33"/>
      <c r="X48" s="35" t="s">
        <v>11</v>
      </c>
      <c r="Y48" s="6"/>
      <c r="Z48" s="6"/>
      <c r="AA48" s="6"/>
      <c r="AB48" s="6"/>
    </row>
    <row r="49" customFormat="false" ht="18.75" hidden="false" customHeight="true" outlineLevel="0" collapsed="false">
      <c r="A49" s="29"/>
      <c r="B49" s="39"/>
      <c r="C49" s="40" t="s">
        <v>69</v>
      </c>
      <c r="D49" s="41" t="n">
        <v>5</v>
      </c>
      <c r="E49" s="32" t="n">
        <f aca="false">SUM(F49:W49)</f>
        <v>0</v>
      </c>
      <c r="F49" s="42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43"/>
      <c r="T49" s="33"/>
      <c r="U49" s="33"/>
      <c r="V49" s="33"/>
      <c r="W49" s="33"/>
      <c r="X49" s="35" t="s">
        <v>11</v>
      </c>
      <c r="Y49" s="6"/>
      <c r="Z49" s="6"/>
      <c r="AA49" s="6"/>
      <c r="AB49" s="6"/>
    </row>
    <row r="50" customFormat="false" ht="18.75" hidden="false" customHeight="true" outlineLevel="0" collapsed="false">
      <c r="A50" s="29"/>
      <c r="B50" s="39"/>
      <c r="C50" s="40" t="s">
        <v>70</v>
      </c>
      <c r="D50" s="41" t="n">
        <v>5</v>
      </c>
      <c r="E50" s="32" t="n">
        <f aca="false">SUM(F50:W50)</f>
        <v>0</v>
      </c>
      <c r="F50" s="42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43"/>
      <c r="T50" s="33"/>
      <c r="U50" s="33"/>
      <c r="V50" s="33"/>
      <c r="W50" s="33"/>
      <c r="X50" s="35" t="s">
        <v>11</v>
      </c>
      <c r="Y50" s="6"/>
      <c r="Z50" s="6"/>
      <c r="AA50" s="6"/>
      <c r="AB50" s="6"/>
    </row>
    <row r="51" customFormat="false" ht="18.75" hidden="false" customHeight="true" outlineLevel="0" collapsed="false">
      <c r="A51" s="29"/>
      <c r="B51" s="39"/>
      <c r="C51" s="40" t="s">
        <v>71</v>
      </c>
      <c r="D51" s="41" t="n">
        <v>3</v>
      </c>
      <c r="E51" s="32" t="n">
        <f aca="false">SUM(F51:W51)</f>
        <v>0</v>
      </c>
      <c r="F51" s="42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43"/>
      <c r="T51" s="33"/>
      <c r="U51" s="33"/>
      <c r="V51" s="33"/>
      <c r="W51" s="33"/>
      <c r="X51" s="35"/>
      <c r="Y51" s="6"/>
      <c r="Z51" s="6"/>
      <c r="AA51" s="6"/>
      <c r="AB51" s="6"/>
    </row>
    <row r="52" customFormat="false" ht="18.75" hidden="false" customHeight="true" outlineLevel="0" collapsed="false">
      <c r="A52" s="29"/>
      <c r="B52" s="39"/>
      <c r="C52" s="40" t="s">
        <v>72</v>
      </c>
      <c r="D52" s="41" t="n">
        <v>3</v>
      </c>
      <c r="E52" s="32" t="n">
        <f aca="false">SUM(F52:W52)</f>
        <v>0</v>
      </c>
      <c r="F52" s="42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43"/>
      <c r="T52" s="33"/>
      <c r="U52" s="33"/>
      <c r="V52" s="33"/>
      <c r="W52" s="33"/>
      <c r="X52" s="35" t="s">
        <v>11</v>
      </c>
      <c r="Y52" s="6"/>
      <c r="Z52" s="6"/>
      <c r="AA52" s="6"/>
      <c r="AB52" s="6"/>
    </row>
    <row r="53" customFormat="false" ht="18.75" hidden="false" customHeight="true" outlineLevel="0" collapsed="false">
      <c r="A53" s="29"/>
      <c r="B53" s="39"/>
      <c r="C53" s="40" t="s">
        <v>73</v>
      </c>
      <c r="D53" s="41" t="n">
        <v>6</v>
      </c>
      <c r="E53" s="32" t="n">
        <f aca="false">SUM(F53:W53)</f>
        <v>0</v>
      </c>
      <c r="F53" s="42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43"/>
      <c r="T53" s="33"/>
      <c r="U53" s="33"/>
      <c r="V53" s="33"/>
      <c r="W53" s="33"/>
      <c r="X53" s="35" t="s">
        <v>11</v>
      </c>
      <c r="Y53" s="6"/>
      <c r="Z53" s="6"/>
      <c r="AA53" s="6"/>
      <c r="AB53" s="6"/>
    </row>
    <row r="54" customFormat="false" ht="18.75" hidden="false" customHeight="true" outlineLevel="0" collapsed="false">
      <c r="A54" s="29"/>
      <c r="B54" s="39"/>
      <c r="C54" s="40" t="s">
        <v>74</v>
      </c>
      <c r="D54" s="41" t="n">
        <v>5</v>
      </c>
      <c r="E54" s="32" t="n">
        <f aca="false">SUM(F54:W54)</f>
        <v>0</v>
      </c>
      <c r="F54" s="42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43"/>
      <c r="T54" s="33"/>
      <c r="U54" s="33"/>
      <c r="V54" s="33"/>
      <c r="W54" s="33"/>
      <c r="X54" s="35" t="s">
        <v>11</v>
      </c>
      <c r="Y54" s="6"/>
      <c r="Z54" s="6"/>
      <c r="AA54" s="6"/>
      <c r="AB54" s="6"/>
    </row>
    <row r="55" customFormat="false" ht="18.75" hidden="false" customHeight="true" outlineLevel="0" collapsed="false">
      <c r="A55" s="29"/>
      <c r="B55" s="39"/>
      <c r="C55" s="40" t="s">
        <v>75</v>
      </c>
      <c r="D55" s="41" t="n">
        <v>3</v>
      </c>
      <c r="E55" s="32" t="n">
        <f aca="false">SUM(F55:W55)</f>
        <v>0</v>
      </c>
      <c r="F55" s="42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43"/>
      <c r="T55" s="33"/>
      <c r="U55" s="33"/>
      <c r="V55" s="33"/>
      <c r="W55" s="33"/>
      <c r="X55" s="35" t="s">
        <v>11</v>
      </c>
      <c r="Y55" s="6"/>
      <c r="Z55" s="6"/>
      <c r="AA55" s="6"/>
      <c r="AB55" s="6"/>
    </row>
    <row r="56" customFormat="false" ht="18.75" hidden="false" customHeight="true" outlineLevel="0" collapsed="false">
      <c r="B56" s="81" t="s">
        <v>76</v>
      </c>
      <c r="C56" s="81"/>
      <c r="D56" s="82" t="n">
        <f aca="false">D29+D17+D3</f>
        <v>239</v>
      </c>
      <c r="E56" s="82" t="n">
        <f aca="false">E29+E17+E3</f>
        <v>42</v>
      </c>
      <c r="F56" s="82" t="n">
        <f aca="false">F29+F17+F3</f>
        <v>15</v>
      </c>
      <c r="G56" s="82" t="n">
        <f aca="false">G29+G17+G3</f>
        <v>12</v>
      </c>
      <c r="H56" s="82" t="n">
        <f aca="false">H29+H17+H3</f>
        <v>15</v>
      </c>
      <c r="I56" s="82" t="n">
        <f aca="false">I29+I17+I3</f>
        <v>0</v>
      </c>
      <c r="J56" s="82" t="n">
        <f aca="false">J29+J17+J3</f>
        <v>0</v>
      </c>
      <c r="K56" s="82" t="n">
        <f aca="false">K29+K17+K3</f>
        <v>0</v>
      </c>
      <c r="L56" s="82" t="n">
        <f aca="false">L29+L17+L3</f>
        <v>0</v>
      </c>
      <c r="M56" s="82" t="n">
        <f aca="false">M29+M17+M3</f>
        <v>0</v>
      </c>
      <c r="N56" s="82" t="n">
        <f aca="false">N29+N17+N3</f>
        <v>0</v>
      </c>
      <c r="O56" s="82" t="n">
        <f aca="false">O29+O17+O3</f>
        <v>0</v>
      </c>
      <c r="P56" s="82" t="n">
        <f aca="false">P29+P17+P3</f>
        <v>0</v>
      </c>
      <c r="Q56" s="82" t="n">
        <f aca="false">Q29+Q17+Q3</f>
        <v>0</v>
      </c>
      <c r="R56" s="82" t="n">
        <f aca="false">R29+R17+R3</f>
        <v>0</v>
      </c>
      <c r="S56" s="82" t="n">
        <f aca="false">S29+S17+S3</f>
        <v>0</v>
      </c>
      <c r="T56" s="82" t="n">
        <f aca="false">T29+T17+T3</f>
        <v>0</v>
      </c>
      <c r="U56" s="82" t="n">
        <f aca="false">U29+U17+U3</f>
        <v>0</v>
      </c>
      <c r="V56" s="82" t="n">
        <f aca="false">V29+V17+V3</f>
        <v>0</v>
      </c>
      <c r="W56" s="82"/>
      <c r="X56" s="83"/>
      <c r="Y56" s="6"/>
      <c r="Z56" s="6"/>
      <c r="AA56" s="6"/>
      <c r="AB56" s="6"/>
    </row>
    <row r="57" customFormat="false" ht="18.75" hidden="false" customHeight="true" outlineLevel="0" collapsed="false">
      <c r="C57" s="40" t="s">
        <v>77</v>
      </c>
      <c r="D57" s="84" t="n">
        <f aca="false">SUM(F57:V57)</f>
        <v>240</v>
      </c>
      <c r="E57" s="84" t="n">
        <f aca="false">SUM(F57:V57)</f>
        <v>240</v>
      </c>
      <c r="F57" s="85" t="n">
        <v>15</v>
      </c>
      <c r="G57" s="85" t="n">
        <v>15</v>
      </c>
      <c r="H57" s="85" t="n">
        <v>15</v>
      </c>
      <c r="I57" s="85" t="n">
        <v>15</v>
      </c>
      <c r="J57" s="85" t="n">
        <v>15</v>
      </c>
      <c r="K57" s="85" t="n">
        <v>15</v>
      </c>
      <c r="L57" s="85" t="n">
        <v>15</v>
      </c>
      <c r="M57" s="85" t="n">
        <v>15</v>
      </c>
      <c r="N57" s="85" t="n">
        <v>15</v>
      </c>
      <c r="O57" s="85" t="n">
        <v>15</v>
      </c>
      <c r="P57" s="85" t="n">
        <v>15</v>
      </c>
      <c r="Q57" s="85" t="n">
        <v>15</v>
      </c>
      <c r="R57" s="85" t="n">
        <v>15</v>
      </c>
      <c r="S57" s="85" t="n">
        <v>0</v>
      </c>
      <c r="T57" s="85" t="n">
        <v>15</v>
      </c>
      <c r="U57" s="85" t="n">
        <v>15</v>
      </c>
      <c r="V57" s="85" t="n">
        <v>15</v>
      </c>
      <c r="Y57" s="6"/>
      <c r="Z57" s="6"/>
      <c r="AA57" s="6"/>
      <c r="AB57" s="6"/>
    </row>
    <row r="58" customFormat="false" ht="18.75" hidden="false" customHeight="true" outlineLevel="0" collapsed="false">
      <c r="C58" s="40" t="s">
        <v>78</v>
      </c>
      <c r="D58" s="84" t="n">
        <f aca="false">D57-D56</f>
        <v>1</v>
      </c>
      <c r="E58" s="84" t="n">
        <f aca="false">E57-E56</f>
        <v>198</v>
      </c>
      <c r="F58" s="84" t="n">
        <f aca="false">F57-F56</f>
        <v>0</v>
      </c>
      <c r="G58" s="84" t="n">
        <f aca="false">G57-G56</f>
        <v>3</v>
      </c>
      <c r="H58" s="84" t="n">
        <f aca="false">H57-H56</f>
        <v>0</v>
      </c>
      <c r="I58" s="84" t="n">
        <f aca="false">I57-I56</f>
        <v>15</v>
      </c>
      <c r="J58" s="84" t="n">
        <f aca="false">J57-J56</f>
        <v>15</v>
      </c>
      <c r="K58" s="84" t="n">
        <f aca="false">K57-K56</f>
        <v>15</v>
      </c>
      <c r="L58" s="84" t="n">
        <f aca="false">L57-L56</f>
        <v>15</v>
      </c>
      <c r="M58" s="84" t="n">
        <f aca="false">M57-M56</f>
        <v>15</v>
      </c>
      <c r="N58" s="84" t="n">
        <f aca="false">N57-N56</f>
        <v>15</v>
      </c>
      <c r="O58" s="84" t="n">
        <f aca="false">O57-O56</f>
        <v>15</v>
      </c>
      <c r="P58" s="84" t="n">
        <f aca="false">P57-P56</f>
        <v>15</v>
      </c>
      <c r="Q58" s="84" t="n">
        <f aca="false">Q57-Q56</f>
        <v>15</v>
      </c>
      <c r="R58" s="84" t="n">
        <f aca="false">R57-R56</f>
        <v>15</v>
      </c>
      <c r="S58" s="84" t="n">
        <f aca="false">S57-S56</f>
        <v>0</v>
      </c>
      <c r="T58" s="84" t="n">
        <f aca="false">T57-T56</f>
        <v>15</v>
      </c>
      <c r="U58" s="84" t="n">
        <f aca="false">U57-U56</f>
        <v>15</v>
      </c>
      <c r="V58" s="84" t="n">
        <f aca="false">V57-V56</f>
        <v>15</v>
      </c>
      <c r="Y58" s="86"/>
      <c r="Z58" s="87"/>
      <c r="AA58" s="86"/>
      <c r="AB58" s="86"/>
    </row>
    <row r="59" customFormat="false" ht="18.75" hidden="false" customHeight="true" outlineLevel="0" collapsed="false"/>
    <row r="60" customFormat="false" ht="18.75" hidden="false" customHeight="true" outlineLevel="0" collapsed="false"/>
    <row r="61" customFormat="false" ht="18.75" hidden="false" customHeight="true" outlineLevel="0" collapsed="false"/>
    <row r="62" customFormat="false" ht="18.75" hidden="false" customHeight="true" outlineLevel="0" collapsed="false"/>
    <row r="63" customFormat="false" ht="18.75" hidden="false" customHeight="true" outlineLevel="0" collapsed="false"/>
    <row r="64" customFormat="false" ht="18.75" hidden="false" customHeight="true" outlineLevel="0" collapsed="false"/>
    <row r="65" customFormat="false" ht="18.75" hidden="false" customHeight="true" outlineLevel="0" collapsed="false"/>
    <row r="66" customFormat="false" ht="18.75" hidden="false" customHeight="true" outlineLevel="0" collapsed="false"/>
    <row r="67" customFormat="false" ht="18.75" hidden="false" customHeight="true" outlineLevel="0" collapsed="false"/>
    <row r="68" customFormat="false" ht="18.75" hidden="false" customHeight="true" outlineLevel="0" collapsed="false"/>
    <row r="69" customFormat="false" ht="18.75" hidden="false" customHeight="true" outlineLevel="0" collapsed="false"/>
    <row r="70" customFormat="false" ht="18.75" hidden="false" customHeight="true" outlineLevel="0" collapsed="false"/>
    <row r="71" customFormat="false" ht="18.75" hidden="false" customHeight="true" outlineLevel="0" collapsed="false"/>
    <row r="72" customFormat="false" ht="18.75" hidden="false" customHeight="true" outlineLevel="0" collapsed="false"/>
    <row r="73" customFormat="false" ht="18.75" hidden="false" customHeight="true" outlineLevel="0" collapsed="false"/>
    <row r="74" customFormat="false" ht="18.75" hidden="false" customHeight="true" outlineLevel="0" collapsed="false"/>
    <row r="75" customFormat="false" ht="18.75" hidden="false" customHeight="true" outlineLevel="0" collapsed="false"/>
    <row r="76" customFormat="false" ht="18.75" hidden="false" customHeight="true" outlineLevel="0" collapsed="false"/>
    <row r="77" customFormat="false" ht="18.75" hidden="false" customHeight="true" outlineLevel="0" collapsed="false"/>
    <row r="78" customFormat="false" ht="18.75" hidden="false" customHeight="true" outlineLevel="0" collapsed="false"/>
    <row r="79" customFormat="false" ht="18.75" hidden="false" customHeight="true" outlineLevel="0" collapsed="false"/>
    <row r="80" customFormat="false" ht="18.75" hidden="false" customHeight="true" outlineLevel="0" collapsed="false"/>
    <row r="81" customFormat="false" ht="18.75" hidden="false" customHeight="true" outlineLevel="0" collapsed="false"/>
    <row r="82" customFormat="false" ht="18.75" hidden="false" customHeight="true" outlineLevel="0" collapsed="false"/>
    <row r="83" customFormat="false" ht="18.75" hidden="false" customHeight="true" outlineLevel="0" collapsed="false"/>
    <row r="84" customFormat="false" ht="18.75" hidden="false" customHeight="true" outlineLevel="0" collapsed="false"/>
    <row r="85" customFormat="false" ht="18.75" hidden="false" customHeight="true" outlineLevel="0" collapsed="false"/>
    <row r="86" customFormat="false" ht="18.75" hidden="false" customHeight="true" outlineLevel="0" collapsed="false"/>
    <row r="87" customFormat="false" ht="18.75" hidden="false" customHeight="true" outlineLevel="0" collapsed="false"/>
    <row r="88" customFormat="false" ht="18.75" hidden="false" customHeight="true" outlineLevel="0" collapsed="false"/>
    <row r="89" customFormat="false" ht="18.75" hidden="false" customHeight="true" outlineLevel="0" collapsed="false"/>
    <row r="90" customFormat="false" ht="18.75" hidden="false" customHeight="true" outlineLevel="0" collapsed="false"/>
    <row r="91" customFormat="false" ht="18.75" hidden="false" customHeight="true" outlineLevel="0" collapsed="false"/>
    <row r="92" customFormat="false" ht="18.75" hidden="false" customHeight="true" outlineLevel="0" collapsed="false"/>
    <row r="93" customFormat="false" ht="18.75" hidden="false" customHeight="true" outlineLevel="0" collapsed="false"/>
    <row r="94" customFormat="false" ht="18.75" hidden="false" customHeight="true" outlineLevel="0" collapsed="false"/>
    <row r="95" customFormat="false" ht="18.75" hidden="false" customHeight="true" outlineLevel="0" collapsed="false"/>
    <row r="96" customFormat="false" ht="18.75" hidden="false" customHeight="true" outlineLevel="0" collapsed="false"/>
    <row r="97" customFormat="false" ht="18.75" hidden="false" customHeight="true" outlineLevel="0" collapsed="false"/>
    <row r="98" customFormat="false" ht="18.75" hidden="false" customHeight="true" outlineLevel="0" collapsed="false"/>
    <row r="99" customFormat="false" ht="18.75" hidden="false" customHeight="true" outlineLevel="0" collapsed="false"/>
    <row r="100" customFormat="false" ht="18.75" hidden="false" customHeight="true" outlineLevel="0" collapsed="false"/>
    <row r="101" customFormat="false" ht="18.75" hidden="false" customHeight="true" outlineLevel="0" collapsed="false"/>
    <row r="102" customFormat="false" ht="18.75" hidden="false" customHeight="true" outlineLevel="0" collapsed="false"/>
    <row r="103" customFormat="false" ht="18.75" hidden="false" customHeight="true" outlineLevel="0" collapsed="false"/>
    <row r="104" customFormat="false" ht="18.75" hidden="false" customHeight="true" outlineLevel="0" collapsed="false"/>
    <row r="105" customFormat="false" ht="18.75" hidden="false" customHeight="true" outlineLevel="0" collapsed="false"/>
    <row r="106" customFormat="false" ht="18.75" hidden="false" customHeight="true" outlineLevel="0" collapsed="false"/>
    <row r="107" customFormat="false" ht="18.75" hidden="false" customHeight="true" outlineLevel="0" collapsed="false"/>
    <row r="108" customFormat="false" ht="18.75" hidden="false" customHeight="true" outlineLevel="0" collapsed="false"/>
    <row r="109" customFormat="false" ht="18.75" hidden="false" customHeight="true" outlineLevel="0" collapsed="false"/>
    <row r="110" customFormat="false" ht="18.75" hidden="false" customHeight="true" outlineLevel="0" collapsed="false"/>
    <row r="111" customFormat="false" ht="18.75" hidden="false" customHeight="true" outlineLevel="0" collapsed="false"/>
    <row r="112" customFormat="false" ht="18.75" hidden="false" customHeight="true" outlineLevel="0" collapsed="false"/>
    <row r="113" customFormat="false" ht="18.75" hidden="false" customHeight="true" outlineLevel="0" collapsed="false"/>
    <row r="114" customFormat="false" ht="18.75" hidden="false" customHeight="true" outlineLevel="0" collapsed="false"/>
    <row r="115" customFormat="false" ht="18.75" hidden="false" customHeight="true" outlineLevel="0" collapsed="false"/>
    <row r="116" customFormat="false" ht="18.75" hidden="false" customHeight="true" outlineLevel="0" collapsed="false"/>
    <row r="117" customFormat="false" ht="18.75" hidden="false" customHeight="true" outlineLevel="0" collapsed="false"/>
    <row r="118" customFormat="false" ht="18.75" hidden="false" customHeight="true" outlineLevel="0" collapsed="false"/>
    <row r="119" customFormat="false" ht="18.75" hidden="false" customHeight="true" outlineLevel="0" collapsed="false"/>
    <row r="120" customFormat="false" ht="18.75" hidden="false" customHeight="true" outlineLevel="0" collapsed="false"/>
    <row r="121" customFormat="false" ht="18.75" hidden="false" customHeight="true" outlineLevel="0" collapsed="false"/>
    <row r="122" customFormat="false" ht="18.75" hidden="false" customHeight="true" outlineLevel="0" collapsed="false"/>
    <row r="123" customFormat="false" ht="18.75" hidden="false" customHeight="true" outlineLevel="0" collapsed="false"/>
    <row r="124" customFormat="false" ht="18.75" hidden="false" customHeight="true" outlineLevel="0" collapsed="false"/>
    <row r="125" customFormat="false" ht="18.75" hidden="false" customHeight="true" outlineLevel="0" collapsed="false"/>
    <row r="126" customFormat="false" ht="18.75" hidden="false" customHeight="true" outlineLevel="0" collapsed="false"/>
    <row r="127" customFormat="false" ht="18.75" hidden="false" customHeight="true" outlineLevel="0" collapsed="false"/>
    <row r="128" customFormat="false" ht="18.75" hidden="false" customHeight="true" outlineLevel="0" collapsed="false"/>
    <row r="129" customFormat="false" ht="18.75" hidden="false" customHeight="true" outlineLevel="0" collapsed="false"/>
    <row r="130" customFormat="false" ht="18.75" hidden="false" customHeight="true" outlineLevel="0" collapsed="false"/>
    <row r="131" customFormat="false" ht="18.75" hidden="false" customHeight="true" outlineLevel="0" collapsed="false"/>
    <row r="132" customFormat="false" ht="18.75" hidden="false" customHeight="true" outlineLevel="0" collapsed="false"/>
    <row r="133" customFormat="false" ht="18.75" hidden="false" customHeight="true" outlineLevel="0" collapsed="false"/>
    <row r="134" customFormat="false" ht="18.75" hidden="false" customHeight="true" outlineLevel="0" collapsed="false"/>
    <row r="135" customFormat="false" ht="18.75" hidden="false" customHeight="true" outlineLevel="0" collapsed="false"/>
    <row r="136" customFormat="false" ht="18.75" hidden="false" customHeight="true" outlineLevel="0" collapsed="false"/>
    <row r="137" customFormat="false" ht="18.75" hidden="false" customHeight="true" outlineLevel="0" collapsed="false"/>
    <row r="138" customFormat="false" ht="18.75" hidden="false" customHeight="true" outlineLevel="0" collapsed="false"/>
    <row r="139" customFormat="false" ht="18.75" hidden="false" customHeight="true" outlineLevel="0" collapsed="false"/>
    <row r="140" customFormat="false" ht="18.75" hidden="false" customHeight="true" outlineLevel="0" collapsed="false"/>
    <row r="141" customFormat="false" ht="18.75" hidden="false" customHeight="true" outlineLevel="0" collapsed="false"/>
    <row r="142" customFormat="false" ht="18.75" hidden="false" customHeight="true" outlineLevel="0" collapsed="false"/>
    <row r="143" customFormat="false" ht="18.75" hidden="false" customHeight="true" outlineLevel="0" collapsed="false"/>
    <row r="144" customFormat="false" ht="18.75" hidden="false" customHeight="true" outlineLevel="0" collapsed="false"/>
    <row r="145" customFormat="false" ht="18.75" hidden="false" customHeight="true" outlineLevel="0" collapsed="false"/>
    <row r="146" customFormat="false" ht="18.75" hidden="false" customHeight="true" outlineLevel="0" collapsed="false"/>
    <row r="147" customFormat="false" ht="18.75" hidden="false" customHeight="true" outlineLevel="0" collapsed="false"/>
    <row r="148" customFormat="false" ht="18.75" hidden="false" customHeight="true" outlineLevel="0" collapsed="false"/>
    <row r="149" customFormat="false" ht="18.75" hidden="false" customHeight="true" outlineLevel="0" collapsed="false"/>
    <row r="150" customFormat="false" ht="18.75" hidden="false" customHeight="true" outlineLevel="0" collapsed="false"/>
    <row r="151" customFormat="false" ht="18.75" hidden="false" customHeight="true" outlineLevel="0" collapsed="false"/>
    <row r="152" customFormat="false" ht="18.75" hidden="false" customHeight="true" outlineLevel="0" collapsed="false"/>
    <row r="153" customFormat="false" ht="18.75" hidden="false" customHeight="true" outlineLevel="0" collapsed="false"/>
    <row r="154" customFormat="false" ht="18.75" hidden="false" customHeight="true" outlineLevel="0" collapsed="false"/>
    <row r="155" customFormat="false" ht="18.75" hidden="false" customHeight="true" outlineLevel="0" collapsed="false"/>
    <row r="156" customFormat="false" ht="18.75" hidden="false" customHeight="true" outlineLevel="0" collapsed="false"/>
    <row r="157" customFormat="false" ht="18.75" hidden="false" customHeight="true" outlineLevel="0" collapsed="false"/>
    <row r="158" customFormat="false" ht="18.75" hidden="false" customHeight="true" outlineLevel="0" collapsed="false"/>
    <row r="159" customFormat="false" ht="18.75" hidden="false" customHeight="true" outlineLevel="0" collapsed="false"/>
    <row r="160" customFormat="false" ht="18.75" hidden="false" customHeight="true" outlineLevel="0" collapsed="false"/>
    <row r="161" customFormat="false" ht="18.75" hidden="false" customHeight="true" outlineLevel="0" collapsed="false"/>
    <row r="162" customFormat="false" ht="18.75" hidden="false" customHeight="true" outlineLevel="0" collapsed="false"/>
    <row r="163" customFormat="false" ht="18.75" hidden="false" customHeight="true" outlineLevel="0" collapsed="false"/>
    <row r="164" customFormat="false" ht="18.75" hidden="false" customHeight="true" outlineLevel="0" collapsed="false"/>
    <row r="165" customFormat="false" ht="18.75" hidden="false" customHeight="true" outlineLevel="0" collapsed="false"/>
    <row r="166" customFormat="false" ht="18.75" hidden="false" customHeight="true" outlineLevel="0" collapsed="false"/>
    <row r="167" customFormat="false" ht="18.75" hidden="false" customHeight="true" outlineLevel="0" collapsed="false"/>
    <row r="168" customFormat="false" ht="18.75" hidden="false" customHeight="true" outlineLevel="0" collapsed="false"/>
    <row r="169" customFormat="false" ht="18.75" hidden="false" customHeight="true" outlineLevel="0" collapsed="false"/>
    <row r="170" customFormat="false" ht="18.75" hidden="false" customHeight="true" outlineLevel="0" collapsed="false"/>
    <row r="171" customFormat="false" ht="18.75" hidden="false" customHeight="true" outlineLevel="0" collapsed="false"/>
    <row r="172" customFormat="false" ht="18.75" hidden="false" customHeight="true" outlineLevel="0" collapsed="false"/>
    <row r="173" customFormat="false" ht="18.75" hidden="false" customHeight="true" outlineLevel="0" collapsed="false"/>
    <row r="174" customFormat="false" ht="18.75" hidden="false" customHeight="true" outlineLevel="0" collapsed="false"/>
    <row r="175" customFormat="false" ht="18.75" hidden="false" customHeight="true" outlineLevel="0" collapsed="false"/>
    <row r="176" customFormat="false" ht="18.75" hidden="false" customHeight="true" outlineLevel="0" collapsed="false"/>
    <row r="177" customFormat="false" ht="18.75" hidden="false" customHeight="true" outlineLevel="0" collapsed="false"/>
    <row r="178" customFormat="false" ht="18.75" hidden="false" customHeight="true" outlineLevel="0" collapsed="false"/>
    <row r="179" customFormat="false" ht="18.75" hidden="false" customHeight="true" outlineLevel="0" collapsed="false"/>
    <row r="180" customFormat="false" ht="18.75" hidden="false" customHeight="true" outlineLevel="0" collapsed="false"/>
    <row r="181" customFormat="false" ht="18.75" hidden="false" customHeight="true" outlineLevel="0" collapsed="false"/>
    <row r="182" customFormat="false" ht="18.75" hidden="false" customHeight="true" outlineLevel="0" collapsed="false"/>
    <row r="183" customFormat="false" ht="18.75" hidden="false" customHeight="true" outlineLevel="0" collapsed="false"/>
    <row r="184" customFormat="false" ht="18.75" hidden="false" customHeight="true" outlineLevel="0" collapsed="false"/>
    <row r="185" customFormat="false" ht="18.75" hidden="false" customHeight="true" outlineLevel="0" collapsed="false"/>
    <row r="186" customFormat="false" ht="18.75" hidden="false" customHeight="true" outlineLevel="0" collapsed="false"/>
    <row r="187" customFormat="false" ht="18.75" hidden="false" customHeight="true" outlineLevel="0" collapsed="false"/>
    <row r="188" customFormat="false" ht="18.75" hidden="false" customHeight="true" outlineLevel="0" collapsed="false"/>
    <row r="189" customFormat="false" ht="18.75" hidden="false" customHeight="true" outlineLevel="0" collapsed="false"/>
    <row r="190" customFormat="false" ht="18.75" hidden="false" customHeight="true" outlineLevel="0" collapsed="false"/>
    <row r="191" customFormat="false" ht="18.75" hidden="false" customHeight="true" outlineLevel="0" collapsed="false"/>
    <row r="192" customFormat="false" ht="18.75" hidden="false" customHeight="true" outlineLevel="0" collapsed="false"/>
    <row r="193" customFormat="false" ht="18.75" hidden="false" customHeight="true" outlineLevel="0" collapsed="false"/>
    <row r="194" customFormat="false" ht="18.75" hidden="false" customHeight="true" outlineLevel="0" collapsed="false"/>
    <row r="195" customFormat="false" ht="18.75" hidden="false" customHeight="true" outlineLevel="0" collapsed="false"/>
    <row r="196" customFormat="false" ht="18.75" hidden="false" customHeight="true" outlineLevel="0" collapsed="false"/>
    <row r="197" customFormat="false" ht="18.75" hidden="false" customHeight="true" outlineLevel="0" collapsed="false"/>
    <row r="198" customFormat="false" ht="18.75" hidden="false" customHeight="true" outlineLevel="0" collapsed="false"/>
    <row r="199" customFormat="false" ht="18.75" hidden="false" customHeight="true" outlineLevel="0" collapsed="false"/>
    <row r="200" customFormat="false" ht="18.75" hidden="false" customHeight="true" outlineLevel="0" collapsed="false"/>
    <row r="201" customFormat="false" ht="18.75" hidden="false" customHeight="true" outlineLevel="0" collapsed="false"/>
    <row r="202" customFormat="false" ht="18.75" hidden="false" customHeight="true" outlineLevel="0" collapsed="false"/>
    <row r="203" customFormat="false" ht="18.75" hidden="false" customHeight="true" outlineLevel="0" collapsed="false"/>
    <row r="204" customFormat="false" ht="18.75" hidden="false" customHeight="true" outlineLevel="0" collapsed="false"/>
    <row r="205" customFormat="false" ht="18.75" hidden="false" customHeight="true" outlineLevel="0" collapsed="false"/>
    <row r="206" customFormat="false" ht="18.75" hidden="false" customHeight="true" outlineLevel="0" collapsed="false"/>
    <row r="207" customFormat="false" ht="18.75" hidden="false" customHeight="true" outlineLevel="0" collapsed="false"/>
    <row r="208" customFormat="false" ht="18.75" hidden="false" customHeight="true" outlineLevel="0" collapsed="false"/>
    <row r="209" customFormat="false" ht="18.75" hidden="false" customHeight="true" outlineLevel="0" collapsed="false"/>
    <row r="210" customFormat="false" ht="18.75" hidden="false" customHeight="true" outlineLevel="0" collapsed="false"/>
    <row r="211" customFormat="false" ht="18.75" hidden="false" customHeight="true" outlineLevel="0" collapsed="false"/>
    <row r="212" customFormat="false" ht="18.75" hidden="false" customHeight="true" outlineLevel="0" collapsed="false"/>
    <row r="213" customFormat="false" ht="18.75" hidden="false" customHeight="true" outlineLevel="0" collapsed="false"/>
    <row r="214" customFormat="false" ht="18.75" hidden="false" customHeight="true" outlineLevel="0" collapsed="false"/>
    <row r="215" customFormat="false" ht="18.75" hidden="false" customHeight="true" outlineLevel="0" collapsed="false"/>
    <row r="216" customFormat="false" ht="18.75" hidden="false" customHeight="true" outlineLevel="0" collapsed="false"/>
    <row r="217" customFormat="false" ht="18.75" hidden="false" customHeight="true" outlineLevel="0" collapsed="false"/>
    <row r="218" customFormat="false" ht="18.75" hidden="false" customHeight="true" outlineLevel="0" collapsed="false"/>
    <row r="219" customFormat="false" ht="18.75" hidden="false" customHeight="true" outlineLevel="0" collapsed="false"/>
    <row r="220" customFormat="false" ht="18.75" hidden="false" customHeight="true" outlineLevel="0" collapsed="false"/>
    <row r="221" customFormat="false" ht="18.75" hidden="false" customHeight="true" outlineLevel="0" collapsed="false"/>
    <row r="222" customFormat="false" ht="18.75" hidden="false" customHeight="true" outlineLevel="0" collapsed="false"/>
    <row r="223" customFormat="false" ht="18.75" hidden="false" customHeight="true" outlineLevel="0" collapsed="false"/>
    <row r="224" customFormat="false" ht="18.75" hidden="false" customHeight="true" outlineLevel="0" collapsed="false"/>
    <row r="225" customFormat="false" ht="18.75" hidden="false" customHeight="true" outlineLevel="0" collapsed="false"/>
    <row r="226" customFormat="false" ht="18.75" hidden="false" customHeight="true" outlineLevel="0" collapsed="false"/>
    <row r="227" customFormat="false" ht="18.75" hidden="false" customHeight="true" outlineLevel="0" collapsed="false"/>
    <row r="228" customFormat="false" ht="18.75" hidden="false" customHeight="true" outlineLevel="0" collapsed="false"/>
    <row r="229" customFormat="false" ht="18.75" hidden="false" customHeight="true" outlineLevel="0" collapsed="false"/>
    <row r="230" customFormat="false" ht="18.75" hidden="false" customHeight="true" outlineLevel="0" collapsed="false"/>
    <row r="231" customFormat="false" ht="18.75" hidden="false" customHeight="true" outlineLevel="0" collapsed="false"/>
    <row r="232" customFormat="false" ht="18.75" hidden="false" customHeight="true" outlineLevel="0" collapsed="false"/>
    <row r="233" customFormat="false" ht="18.75" hidden="false" customHeight="true" outlineLevel="0" collapsed="false"/>
    <row r="234" customFormat="false" ht="18.75" hidden="false" customHeight="true" outlineLevel="0" collapsed="false"/>
    <row r="235" customFormat="false" ht="18.75" hidden="false" customHeight="true" outlineLevel="0" collapsed="false"/>
    <row r="236" customFormat="false" ht="18.75" hidden="false" customHeight="true" outlineLevel="0" collapsed="false"/>
    <row r="237" customFormat="false" ht="18.75" hidden="false" customHeight="true" outlineLevel="0" collapsed="false"/>
    <row r="238" customFormat="false" ht="18.75" hidden="false" customHeight="true" outlineLevel="0" collapsed="false"/>
    <row r="239" customFormat="false" ht="18.75" hidden="false" customHeight="true" outlineLevel="0" collapsed="false"/>
    <row r="240" customFormat="false" ht="18.75" hidden="false" customHeight="true" outlineLevel="0" collapsed="false"/>
    <row r="241" customFormat="false" ht="18.75" hidden="false" customHeight="true" outlineLevel="0" collapsed="false"/>
    <row r="242" customFormat="false" ht="18.75" hidden="false" customHeight="true" outlineLevel="0" collapsed="false"/>
    <row r="243" customFormat="false" ht="18.75" hidden="false" customHeight="true" outlineLevel="0" collapsed="false"/>
    <row r="244" customFormat="false" ht="18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</sheetData>
  <mergeCells count="22">
    <mergeCell ref="A1:C1"/>
    <mergeCell ref="D1:E1"/>
    <mergeCell ref="F1:W1"/>
    <mergeCell ref="A2:C2"/>
    <mergeCell ref="A3:B3"/>
    <mergeCell ref="B4:C4"/>
    <mergeCell ref="B7:C7"/>
    <mergeCell ref="B11:C11"/>
    <mergeCell ref="B14:C14"/>
    <mergeCell ref="A17:B17"/>
    <mergeCell ref="B18:C18"/>
    <mergeCell ref="Z18:AA18"/>
    <mergeCell ref="Z19:AA20"/>
    <mergeCell ref="B21:C21"/>
    <mergeCell ref="Z21:AA22"/>
    <mergeCell ref="B23:C23"/>
    <mergeCell ref="B26:C26"/>
    <mergeCell ref="A29:B29"/>
    <mergeCell ref="B30:C30"/>
    <mergeCell ref="B41:C41"/>
    <mergeCell ref="B47:C47"/>
    <mergeCell ref="B56:C56"/>
  </mergeCells>
  <conditionalFormatting sqref="D4 D7 D18 D21 D30 D41">
    <cfRule type="cellIs" priority="2" operator="equal" aboveAverage="0" equalAverage="0" bottom="0" percent="0" rank="0" text="" dxfId="0">
      <formula>0</formula>
    </cfRule>
  </conditionalFormatting>
  <conditionalFormatting sqref="D56:W56">
    <cfRule type="cellIs" priority="3" operator="equal" aboveAverage="0" equalAverage="0" bottom="0" percent="0" rank="0" text="" dxfId="1">
      <formula>0</formula>
    </cfRule>
  </conditionalFormatting>
  <conditionalFormatting sqref="E4:E10 E18:E22 E30:E46">
    <cfRule type="expression" priority="4" aboveAverage="0" equalAverage="0" bottom="0" percent="0" rank="0" text="" dxfId="2">
      <formula>E4&lt;D4</formula>
    </cfRule>
    <cfRule type="expression" priority="5" aboveAverage="0" equalAverage="0" bottom="0" percent="0" rank="0" text="" dxfId="3">
      <formula>E4&gt;D4</formula>
    </cfRule>
    <cfRule type="cellIs" priority="6" operator="greaterThan" aboveAverage="0" equalAverage="0" bottom="0" percent="0" rank="0" text="" dxfId="4">
      <formula>"D5"</formula>
    </cfRule>
    <cfRule type="cellIs" priority="7" operator="equal" aboveAverage="0" equalAverage="0" bottom="0" percent="0" rank="0" text="" dxfId="5">
      <formula>0</formula>
    </cfRule>
  </conditionalFormatting>
  <conditionalFormatting sqref="V4:W4 F7:W7 F18:W18 F21:W21 F30:W30 F41:W41 D56:W56">
    <cfRule type="cellIs" priority="8" operator="equal" aboveAverage="0" equalAverage="0" bottom="0" percent="0" rank="0" text="" dxfId="6">
      <formula>0</formula>
    </cfRule>
  </conditionalFormatting>
  <conditionalFormatting sqref="X4:X10 X18:X22 X30:X46">
    <cfRule type="cellIs" priority="9" operator="equal" aboveAverage="0" equalAverage="0" bottom="0" percent="0" rank="0" text="" dxfId="7">
      <formula>"Complete"</formula>
    </cfRule>
    <cfRule type="cellIs" priority="10" operator="equal" aboveAverage="0" equalAverage="0" bottom="0" percent="0" rank="0" text="" dxfId="8">
      <formula>"Early &amp; Complete"</formula>
    </cfRule>
    <cfRule type="cellIs" priority="11" operator="equal" aboveAverage="0" equalAverage="0" bottom="0" percent="0" rank="0" text="" dxfId="9">
      <formula>"Ontime (In Progress)"</formula>
    </cfRule>
    <cfRule type="cellIs" priority="12" operator="equal" aboveAverage="0" equalAverage="0" bottom="0" percent="0" rank="0" text="" dxfId="10">
      <formula>"Late (In Progress)"</formula>
    </cfRule>
    <cfRule type="cellIs" priority="13" operator="equal" aboveAverage="0" equalAverage="0" bottom="0" percent="0" rank="0" text="" dxfId="11">
      <formula>"Very Late (In Progress)"</formula>
    </cfRule>
    <cfRule type="cellIs" priority="14" operator="equal" aboveAverage="0" equalAverage="0" bottom="0" percent="0" rank="0" text="" dxfId="12">
      <formula>"Not Started"</formula>
    </cfRule>
    <cfRule type="cellIs" priority="15" operator="equal" aboveAverage="0" equalAverage="0" bottom="0" percent="0" rank="0" text="" dxfId="13">
      <formula>"Late &amp; Complete"</formula>
    </cfRule>
    <cfRule type="cellIs" priority="16" operator="equal" aboveAverage="0" equalAverage="0" bottom="0" percent="0" rank="0" text="" dxfId="14">
      <formula>"Very Late &amp; Complete"</formula>
    </cfRule>
  </conditionalFormatting>
  <conditionalFormatting sqref="E14:E16">
    <cfRule type="expression" priority="17" aboveAverage="0" equalAverage="0" bottom="0" percent="0" rank="0" text="" dxfId="15">
      <formula>E14&lt;D14</formula>
    </cfRule>
    <cfRule type="expression" priority="18" aboveAverage="0" equalAverage="0" bottom="0" percent="0" rank="0" text="" dxfId="16">
      <formula>E14&gt;D14</formula>
    </cfRule>
    <cfRule type="cellIs" priority="19" operator="greaterThan" aboveAverage="0" equalAverage="0" bottom="0" percent="0" rank="0" text="" dxfId="17">
      <formula>"D5"</formula>
    </cfRule>
    <cfRule type="cellIs" priority="20" operator="equal" aboveAverage="0" equalAverage="0" bottom="0" percent="0" rank="0" text="" dxfId="18">
      <formula>0</formula>
    </cfRule>
  </conditionalFormatting>
  <conditionalFormatting sqref="F14:W14">
    <cfRule type="cellIs" priority="21" operator="equal" aboveAverage="0" equalAverage="0" bottom="0" percent="0" rank="0" text="" dxfId="19">
      <formula>0</formula>
    </cfRule>
  </conditionalFormatting>
  <conditionalFormatting sqref="X14:X16">
    <cfRule type="cellIs" priority="22" operator="equal" aboveAverage="0" equalAverage="0" bottom="0" percent="0" rank="0" text="" dxfId="20">
      <formula>"Complete"</formula>
    </cfRule>
    <cfRule type="cellIs" priority="23" operator="equal" aboveAverage="0" equalAverage="0" bottom="0" percent="0" rank="0" text="" dxfId="21">
      <formula>"Early &amp; Complete"</formula>
    </cfRule>
    <cfRule type="cellIs" priority="24" operator="equal" aboveAverage="0" equalAverage="0" bottom="0" percent="0" rank="0" text="" dxfId="22">
      <formula>"Ontime (In Progress)"</formula>
    </cfRule>
    <cfRule type="cellIs" priority="25" operator="equal" aboveAverage="0" equalAverage="0" bottom="0" percent="0" rank="0" text="" dxfId="23">
      <formula>"Late (In Progress)"</formula>
    </cfRule>
    <cfRule type="cellIs" priority="26" operator="equal" aboveAverage="0" equalAverage="0" bottom="0" percent="0" rank="0" text="" dxfId="24">
      <formula>"Very Late (In Progress)"</formula>
    </cfRule>
    <cfRule type="cellIs" priority="27" operator="equal" aboveAverage="0" equalAverage="0" bottom="0" percent="0" rank="0" text="" dxfId="25">
      <formula>"Not Started"</formula>
    </cfRule>
    <cfRule type="cellIs" priority="28" operator="equal" aboveAverage="0" equalAverage="0" bottom="0" percent="0" rank="0" text="" dxfId="26">
      <formula>"Late &amp; Complete"</formula>
    </cfRule>
    <cfRule type="cellIs" priority="29" operator="equal" aboveAverage="0" equalAverage="0" bottom="0" percent="0" rank="0" text="" dxfId="27">
      <formula>"Very Late &amp; Complete"</formula>
    </cfRule>
  </conditionalFormatting>
  <conditionalFormatting sqref="E23:E25">
    <cfRule type="expression" priority="30" aboveAverage="0" equalAverage="0" bottom="0" percent="0" rank="0" text="" dxfId="28">
      <formula>E23&lt;D23</formula>
    </cfRule>
    <cfRule type="expression" priority="31" aboveAverage="0" equalAverage="0" bottom="0" percent="0" rank="0" text="" dxfId="29">
      <formula>E23&gt;D23</formula>
    </cfRule>
    <cfRule type="cellIs" priority="32" operator="greaterThan" aboveAverage="0" equalAverage="0" bottom="0" percent="0" rank="0" text="" dxfId="30">
      <formula>"D5"</formula>
    </cfRule>
    <cfRule type="cellIs" priority="33" operator="equal" aboveAverage="0" equalAverage="0" bottom="0" percent="0" rank="0" text="" dxfId="31">
      <formula>0</formula>
    </cfRule>
  </conditionalFormatting>
  <conditionalFormatting sqref="F23:O23 Q23:R23 T23:W23">
    <cfRule type="cellIs" priority="34" operator="equal" aboveAverage="0" equalAverage="0" bottom="0" percent="0" rank="0" text="" dxfId="32">
      <formula>0</formula>
    </cfRule>
  </conditionalFormatting>
  <conditionalFormatting sqref="X23:X25">
    <cfRule type="cellIs" priority="35" operator="equal" aboveAverage="0" equalAverage="0" bottom="0" percent="0" rank="0" text="" dxfId="33">
      <formula>"Complete"</formula>
    </cfRule>
    <cfRule type="cellIs" priority="36" operator="equal" aboveAverage="0" equalAverage="0" bottom="0" percent="0" rank="0" text="" dxfId="34">
      <formula>"Early &amp; Complete"</formula>
    </cfRule>
    <cfRule type="cellIs" priority="37" operator="equal" aboveAverage="0" equalAverage="0" bottom="0" percent="0" rank="0" text="" dxfId="35">
      <formula>"Ontime (In Progress)"</formula>
    </cfRule>
    <cfRule type="cellIs" priority="38" operator="equal" aboveAverage="0" equalAverage="0" bottom="0" percent="0" rank="0" text="" dxfId="36">
      <formula>"Late (In Progress)"</formula>
    </cfRule>
    <cfRule type="cellIs" priority="39" operator="equal" aboveAverage="0" equalAverage="0" bottom="0" percent="0" rank="0" text="" dxfId="37">
      <formula>"Very Late (In Progress)"</formula>
    </cfRule>
    <cfRule type="cellIs" priority="40" operator="equal" aboveAverage="0" equalAverage="0" bottom="0" percent="0" rank="0" text="" dxfId="38">
      <formula>"Not Started"</formula>
    </cfRule>
    <cfRule type="cellIs" priority="41" operator="equal" aboveAverage="0" equalAverage="0" bottom="0" percent="0" rank="0" text="" dxfId="39">
      <formula>"Late &amp; Complete"</formula>
    </cfRule>
    <cfRule type="cellIs" priority="42" operator="equal" aboveAverage="0" equalAverage="0" bottom="0" percent="0" rank="0" text="" dxfId="40">
      <formula>"Very Late &amp; Complete"</formula>
    </cfRule>
  </conditionalFormatting>
  <conditionalFormatting sqref="E26:E28">
    <cfRule type="expression" priority="43" aboveAverage="0" equalAverage="0" bottom="0" percent="0" rank="0" text="" dxfId="41">
      <formula>E26&lt;D26</formula>
    </cfRule>
    <cfRule type="expression" priority="44" aboveAverage="0" equalAverage="0" bottom="0" percent="0" rank="0" text="" dxfId="42">
      <formula>E26&gt;D26</formula>
    </cfRule>
    <cfRule type="cellIs" priority="45" operator="greaterThan" aboveAverage="0" equalAverage="0" bottom="0" percent="0" rank="0" text="" dxfId="43">
      <formula>"D5"</formula>
    </cfRule>
    <cfRule type="cellIs" priority="46" operator="equal" aboveAverage="0" equalAverage="0" bottom="0" percent="0" rank="0" text="" dxfId="44">
      <formula>0</formula>
    </cfRule>
  </conditionalFormatting>
  <conditionalFormatting sqref="F26:O26 Q26:R26 T26:W26">
    <cfRule type="cellIs" priority="47" operator="equal" aboveAverage="0" equalAverage="0" bottom="0" percent="0" rank="0" text="" dxfId="45">
      <formula>0</formula>
    </cfRule>
  </conditionalFormatting>
  <conditionalFormatting sqref="X26:X28">
    <cfRule type="cellIs" priority="48" operator="equal" aboveAverage="0" equalAverage="0" bottom="0" percent="0" rank="0" text="" dxfId="46">
      <formula>"Complete"</formula>
    </cfRule>
    <cfRule type="cellIs" priority="49" operator="equal" aboveAverage="0" equalAverage="0" bottom="0" percent="0" rank="0" text="" dxfId="47">
      <formula>"Early &amp; Complete"</formula>
    </cfRule>
    <cfRule type="cellIs" priority="50" operator="equal" aboveAverage="0" equalAverage="0" bottom="0" percent="0" rank="0" text="" dxfId="48">
      <formula>"Ontime (In Progress)"</formula>
    </cfRule>
    <cfRule type="cellIs" priority="51" operator="equal" aboveAverage="0" equalAverage="0" bottom="0" percent="0" rank="0" text="" dxfId="49">
      <formula>"Late (In Progress)"</formula>
    </cfRule>
    <cfRule type="cellIs" priority="52" operator="equal" aboveAverage="0" equalAverage="0" bottom="0" percent="0" rank="0" text="" dxfId="50">
      <formula>"Very Late (In Progress)"</formula>
    </cfRule>
    <cfRule type="cellIs" priority="53" operator="equal" aboveAverage="0" equalAverage="0" bottom="0" percent="0" rank="0" text="" dxfId="51">
      <formula>"Not Started"</formula>
    </cfRule>
    <cfRule type="cellIs" priority="54" operator="equal" aboveAverage="0" equalAverage="0" bottom="0" percent="0" rank="0" text="" dxfId="52">
      <formula>"Late &amp; Complete"</formula>
    </cfRule>
    <cfRule type="cellIs" priority="55" operator="equal" aboveAverage="0" equalAverage="0" bottom="0" percent="0" rank="0" text="" dxfId="53">
      <formula>"Very Late &amp; Complete"</formula>
    </cfRule>
  </conditionalFormatting>
  <conditionalFormatting sqref="E47:E55">
    <cfRule type="expression" priority="56" aboveAverage="0" equalAverage="0" bottom="0" percent="0" rank="0" text="" dxfId="54">
      <formula>E37&lt;D37</formula>
    </cfRule>
    <cfRule type="expression" priority="57" aboveAverage="0" equalAverage="0" bottom="0" percent="0" rank="0" text="" dxfId="55">
      <formula>E37&gt;D37</formula>
    </cfRule>
    <cfRule type="cellIs" priority="58" operator="greaterThan" aboveAverage="0" equalAverage="0" bottom="0" percent="0" rank="0" text="" dxfId="56">
      <formula>"D5"</formula>
    </cfRule>
    <cfRule type="cellIs" priority="59" operator="equal" aboveAverage="0" equalAverage="0" bottom="0" percent="0" rank="0" text="" dxfId="57">
      <formula>0</formula>
    </cfRule>
  </conditionalFormatting>
  <conditionalFormatting sqref="F47:W47">
    <cfRule type="cellIs" priority="60" operator="equal" aboveAverage="0" equalAverage="0" bottom="0" percent="0" rank="0" text="" dxfId="58">
      <formula>0</formula>
    </cfRule>
  </conditionalFormatting>
  <conditionalFormatting sqref="X47:X55">
    <cfRule type="cellIs" priority="61" operator="equal" aboveAverage="0" equalAverage="0" bottom="0" percent="0" rank="0" text="" dxfId="59">
      <formula>"Complete"</formula>
    </cfRule>
    <cfRule type="cellIs" priority="62" operator="equal" aboveAverage="0" equalAverage="0" bottom="0" percent="0" rank="0" text="" dxfId="60">
      <formula>"Early &amp; Complete"</formula>
    </cfRule>
    <cfRule type="cellIs" priority="63" operator="equal" aboveAverage="0" equalAverage="0" bottom="0" percent="0" rank="0" text="" dxfId="61">
      <formula>"Ontime (In Progress)"</formula>
    </cfRule>
    <cfRule type="cellIs" priority="64" operator="equal" aboveAverage="0" equalAverage="0" bottom="0" percent="0" rank="0" text="" dxfId="62">
      <formula>"Late (In Progress)"</formula>
    </cfRule>
    <cfRule type="cellIs" priority="65" operator="equal" aboveAverage="0" equalAverage="0" bottom="0" percent="0" rank="0" text="" dxfId="63">
      <formula>"Very Late (In Progress)"</formula>
    </cfRule>
    <cfRule type="cellIs" priority="66" operator="equal" aboveAverage="0" equalAverage="0" bottom="0" percent="0" rank="0" text="" dxfId="64">
      <formula>"Not Started"</formula>
    </cfRule>
    <cfRule type="cellIs" priority="67" operator="equal" aboveAverage="0" equalAverage="0" bottom="0" percent="0" rank="0" text="" dxfId="65">
      <formula>"Late &amp; Complete"</formula>
    </cfRule>
    <cfRule type="cellIs" priority="68" operator="equal" aboveAverage="0" equalAverage="0" bottom="0" percent="0" rank="0" text="" dxfId="66">
      <formula>"Very Late &amp; Complete"</formula>
    </cfRule>
  </conditionalFormatting>
  <conditionalFormatting sqref="E3">
    <cfRule type="expression" priority="69" aboveAverage="0" equalAverage="0" bottom="0" percent="0" rank="0" text="" dxfId="67">
      <formula>E3&lt;D3</formula>
    </cfRule>
  </conditionalFormatting>
  <conditionalFormatting sqref="E3">
    <cfRule type="expression" priority="70" aboveAverage="0" equalAverage="0" bottom="0" percent="0" rank="0" text="" dxfId="68">
      <formula>E3&gt;D3</formula>
    </cfRule>
  </conditionalFormatting>
  <conditionalFormatting sqref="E3">
    <cfRule type="cellIs" priority="71" operator="greaterThan" aboveAverage="0" equalAverage="0" bottom="0" percent="0" rank="0" text="" dxfId="69">
      <formula>"D5"</formula>
    </cfRule>
  </conditionalFormatting>
  <conditionalFormatting sqref="E3">
    <cfRule type="cellIs" priority="72" operator="equal" aboveAverage="0" equalAverage="0" bottom="0" percent="0" rank="0" text="" dxfId="70">
      <formula>0</formula>
    </cfRule>
  </conditionalFormatting>
  <conditionalFormatting sqref="D14">
    <cfRule type="cellIs" priority="73" operator="equal" aboveAverage="0" equalAverage="0" bottom="0" percent="0" rank="0" text="" dxfId="71">
      <formula>0</formula>
    </cfRule>
  </conditionalFormatting>
  <conditionalFormatting sqref="D23">
    <cfRule type="cellIs" priority="74" operator="equal" aboveAverage="0" equalAverage="0" bottom="0" percent="0" rank="0" text="" dxfId="72">
      <formula>0</formula>
    </cfRule>
  </conditionalFormatting>
  <conditionalFormatting sqref="D26">
    <cfRule type="cellIs" priority="75" operator="equal" aboveAverage="0" equalAverage="0" bottom="0" percent="0" rank="0" text="" dxfId="73">
      <formula>0</formula>
    </cfRule>
  </conditionalFormatting>
  <conditionalFormatting sqref="D47">
    <cfRule type="cellIs" priority="76" operator="equal" aboveAverage="0" equalAverage="0" bottom="0" percent="0" rank="0" text="" dxfId="74">
      <formula>0</formula>
    </cfRule>
  </conditionalFormatting>
  <conditionalFormatting sqref="E17">
    <cfRule type="expression" priority="77" aboveAverage="0" equalAverage="0" bottom="0" percent="0" rank="0" text="" dxfId="75">
      <formula>E17&lt;D17</formula>
    </cfRule>
  </conditionalFormatting>
  <conditionalFormatting sqref="E17">
    <cfRule type="expression" priority="78" aboveAverage="0" equalAverage="0" bottom="0" percent="0" rank="0" text="" dxfId="76">
      <formula>E17&gt;D17</formula>
    </cfRule>
  </conditionalFormatting>
  <conditionalFormatting sqref="E17">
    <cfRule type="cellIs" priority="79" operator="greaterThan" aboveAverage="0" equalAverage="0" bottom="0" percent="0" rank="0" text="" dxfId="77">
      <formula>"D5"</formula>
    </cfRule>
  </conditionalFormatting>
  <conditionalFormatting sqref="E17">
    <cfRule type="cellIs" priority="80" operator="equal" aboveAverage="0" equalAverage="0" bottom="0" percent="0" rank="0" text="" dxfId="78">
      <formula>0</formula>
    </cfRule>
  </conditionalFormatting>
  <conditionalFormatting sqref="E29">
    <cfRule type="expression" priority="81" aboveAverage="0" equalAverage="0" bottom="0" percent="0" rank="0" text="" dxfId="79">
      <formula>E29&lt;D29</formula>
    </cfRule>
  </conditionalFormatting>
  <conditionalFormatting sqref="E29">
    <cfRule type="expression" priority="82" aboveAverage="0" equalAverage="0" bottom="0" percent="0" rank="0" text="" dxfId="80">
      <formula>E29&gt;D29</formula>
    </cfRule>
  </conditionalFormatting>
  <conditionalFormatting sqref="E29">
    <cfRule type="cellIs" priority="83" operator="greaterThan" aboveAverage="0" equalAverage="0" bottom="0" percent="0" rank="0" text="" dxfId="81">
      <formula>"D5"</formula>
    </cfRule>
  </conditionalFormatting>
  <conditionalFormatting sqref="E29">
    <cfRule type="cellIs" priority="84" operator="equal" aboveAverage="0" equalAverage="0" bottom="0" percent="0" rank="0" text="" dxfId="82">
      <formula>0</formula>
    </cfRule>
  </conditionalFormatting>
  <conditionalFormatting sqref="D58:V58">
    <cfRule type="cellIs" priority="85" operator="lessThan" aboveAverage="0" equalAverage="0" bottom="0" percent="0" rank="0" text="" dxfId="83">
      <formula>0</formula>
    </cfRule>
    <cfRule type="cellIs" priority="86" operator="greaterThan" aboveAverage="0" equalAverage="0" bottom="0" percent="0" rank="0" text="" dxfId="84">
      <formula>0</formula>
    </cfRule>
  </conditionalFormatting>
  <conditionalFormatting sqref="E11:E13">
    <cfRule type="expression" priority="87" aboveAverage="0" equalAverage="0" bottom="0" percent="0" rank="0" text="" dxfId="85">
      <formula>E11&lt;D11</formula>
    </cfRule>
    <cfRule type="expression" priority="88" aboveAverage="0" equalAverage="0" bottom="0" percent="0" rank="0" text="" dxfId="86">
      <formula>E11&gt;D11</formula>
    </cfRule>
    <cfRule type="cellIs" priority="89" operator="greaterThan" aboveAverage="0" equalAverage="0" bottom="0" percent="0" rank="0" text="" dxfId="87">
      <formula>"D5"</formula>
    </cfRule>
    <cfRule type="cellIs" priority="90" operator="equal" aboveAverage="0" equalAverage="0" bottom="0" percent="0" rank="0" text="" dxfId="88">
      <formula>0</formula>
    </cfRule>
  </conditionalFormatting>
  <conditionalFormatting sqref="F11:W11">
    <cfRule type="cellIs" priority="91" operator="equal" aboveAverage="0" equalAverage="0" bottom="0" percent="0" rank="0" text="" dxfId="89">
      <formula>0</formula>
    </cfRule>
  </conditionalFormatting>
  <conditionalFormatting sqref="X11:X13">
    <cfRule type="cellIs" priority="92" operator="equal" aboveAverage="0" equalAverage="0" bottom="0" percent="0" rank="0" text="" dxfId="90">
      <formula>"Complete"</formula>
    </cfRule>
    <cfRule type="cellIs" priority="93" operator="equal" aboveAverage="0" equalAverage="0" bottom="0" percent="0" rank="0" text="" dxfId="91">
      <formula>"Early &amp; Complete"</formula>
    </cfRule>
    <cfRule type="cellIs" priority="94" operator="equal" aboveAverage="0" equalAverage="0" bottom="0" percent="0" rank="0" text="" dxfId="92">
      <formula>"Ontime (In Progress)"</formula>
    </cfRule>
    <cfRule type="cellIs" priority="95" operator="equal" aboveAverage="0" equalAverage="0" bottom="0" percent="0" rank="0" text="" dxfId="93">
      <formula>"Late (In Progress)"</formula>
    </cfRule>
    <cfRule type="cellIs" priority="96" operator="equal" aboveAverage="0" equalAverage="0" bottom="0" percent="0" rank="0" text="" dxfId="94">
      <formula>"Very Late (In Progress)"</formula>
    </cfRule>
    <cfRule type="cellIs" priority="97" operator="equal" aboveAverage="0" equalAverage="0" bottom="0" percent="0" rank="0" text="" dxfId="95">
      <formula>"Not Started"</formula>
    </cfRule>
    <cfRule type="cellIs" priority="98" operator="equal" aboveAverage="0" equalAverage="0" bottom="0" percent="0" rank="0" text="" dxfId="96">
      <formula>"Late &amp; Complete"</formula>
    </cfRule>
    <cfRule type="cellIs" priority="99" operator="equal" aboveAverage="0" equalAverage="0" bottom="0" percent="0" rank="0" text="" dxfId="97">
      <formula>"Very Late &amp; Complete"</formula>
    </cfRule>
  </conditionalFormatting>
  <conditionalFormatting sqref="D11">
    <cfRule type="cellIs" priority="100" operator="equal" aboveAverage="0" equalAverage="0" bottom="0" percent="0" rank="0" text="" dxfId="98">
      <formula>0</formula>
    </cfRule>
  </conditionalFormatting>
  <conditionalFormatting sqref="R11 T11:V11">
    <cfRule type="cellIs" priority="101" operator="equal" aboveAverage="0" equalAverage="0" bottom="0" percent="0" rank="0" text="" dxfId="99">
      <formula>0</formula>
    </cfRule>
  </conditionalFormatting>
  <conditionalFormatting sqref="P7 P18 P21 P30 P41">
    <cfRule type="cellIs" priority="102" operator="equal" aboveAverage="0" equalAverage="0" bottom="0" percent="0" rank="0" text="" dxfId="100">
      <formula>0</formula>
    </cfRule>
  </conditionalFormatting>
  <conditionalFormatting sqref="P14">
    <cfRule type="cellIs" priority="103" operator="equal" aboveAverage="0" equalAverage="0" bottom="0" percent="0" rank="0" text="" dxfId="101">
      <formula>0</formula>
    </cfRule>
  </conditionalFormatting>
  <conditionalFormatting sqref="P23">
    <cfRule type="cellIs" priority="104" operator="equal" aboveAverage="0" equalAverage="0" bottom="0" percent="0" rank="0" text="" dxfId="102">
      <formula>0</formula>
    </cfRule>
  </conditionalFormatting>
  <conditionalFormatting sqref="P26">
    <cfRule type="cellIs" priority="105" operator="equal" aboveAverage="0" equalAverage="0" bottom="0" percent="0" rank="0" text="" dxfId="103">
      <formula>0</formula>
    </cfRule>
  </conditionalFormatting>
  <conditionalFormatting sqref="P47">
    <cfRule type="cellIs" priority="106" operator="equal" aboveAverage="0" equalAverage="0" bottom="0" percent="0" rank="0" text="" dxfId="104">
      <formula>0</formula>
    </cfRule>
  </conditionalFormatting>
  <conditionalFormatting sqref="P11">
    <cfRule type="cellIs" priority="107" operator="equal" aboveAverage="0" equalAverage="0" bottom="0" percent="0" rank="0" text="" dxfId="105">
      <formula>0</formula>
    </cfRule>
  </conditionalFormatting>
  <conditionalFormatting sqref="S7 S18 S21 S30 S41">
    <cfRule type="cellIs" priority="108" operator="equal" aboveAverage="0" equalAverage="0" bottom="0" percent="0" rank="0" text="" dxfId="106">
      <formula>0</formula>
    </cfRule>
  </conditionalFormatting>
  <conditionalFormatting sqref="S14">
    <cfRule type="cellIs" priority="109" operator="equal" aboveAverage="0" equalAverage="0" bottom="0" percent="0" rank="0" text="" dxfId="107">
      <formula>0</formula>
    </cfRule>
  </conditionalFormatting>
  <conditionalFormatting sqref="S23">
    <cfRule type="cellIs" priority="110" operator="equal" aboveAverage="0" equalAverage="0" bottom="0" percent="0" rank="0" text="" dxfId="108">
      <formula>0</formula>
    </cfRule>
  </conditionalFormatting>
  <conditionalFormatting sqref="S26">
    <cfRule type="cellIs" priority="111" operator="equal" aboveAverage="0" equalAverage="0" bottom="0" percent="0" rank="0" text="" dxfId="109">
      <formula>0</formula>
    </cfRule>
  </conditionalFormatting>
  <conditionalFormatting sqref="S47">
    <cfRule type="cellIs" priority="112" operator="equal" aboveAverage="0" equalAverage="0" bottom="0" percent="0" rank="0" text="" dxfId="110">
      <formula>0</formula>
    </cfRule>
  </conditionalFormatting>
  <conditionalFormatting sqref="S11">
    <cfRule type="cellIs" priority="113" operator="equal" aboveAverage="0" equalAverage="0" bottom="0" percent="0" rank="0" text="" dxfId="111">
      <formula>0</formula>
    </cfRule>
  </conditionalFormatting>
  <dataValidations count="2">
    <dataValidation allowBlank="true" errorStyle="stop" operator="between" showDropDown="false" showErrorMessage="false" showInputMessage="false" sqref="X8:X9 X12 X15 X24 X27" type="list">
      <formula1>"Complete,Early &amp; Complete,Ontime (In Progress),Late (In Progress),Very Late &amp; Complete,Very Late (In Progress),Not Started,Late &amp; Completed"</formula1>
      <formula2>0</formula2>
    </dataValidation>
    <dataValidation allowBlank="true" errorStyle="stop" operator="between" showDropDown="false" showErrorMessage="false" showInputMessage="false" sqref="X4:X7 X10:X11 X13:X14 X16 X18:X23 X25:X26 X28 X30:X55" type="list">
      <formula1>"Complete,Early &amp; Complete,Ontime (In Progress),Late (In Progress),Very Late &amp; Complete,Very Late (In Progress),Not Started,Late &amp; Complete"</formula1>
      <formula2>0</formula2>
    </dataValidation>
  </dataValidation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2024-09-08T14:08:35Z</dcterms:created>
  <dc:creator>Scott E Palo</dc:creator>
  <dc:description/>
  <dc:language>en-US</dc:language>
  <cp:lastModifiedBy/>
  <dcterms:modified xsi:type="dcterms:W3CDTF">2026-09-11T21:24:17Z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