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4100" tabRatio="500"/>
  </bookViews>
  <sheets>
    <sheet name="Template" sheetId="1" r:id="rId1"/>
  </sheets>
  <calcPr calcId="144525"/>
</workbook>
</file>

<file path=xl/comments1.xml><?xml version="1.0" encoding="utf-8"?>
<comments xmlns="http://schemas.openxmlformats.org/spreadsheetml/2006/main">
  <authors>
    <author>Unknown Author</author>
  </authors>
  <commentList>
    <comment ref="H2" authorId="0">
      <text>
        <r>
          <rPr>
            <sz val="10"/>
            <rFont val="Arial"/>
            <charset val="134"/>
          </rPr>
          <t>======
ID#AAACGTV1svQ
Scott Palo    (2026-09-02 21:02:20)
The  week is green</t>
        </r>
      </text>
    </comment>
    <comment ref="M2" authorId="0">
      <text>
        <r>
          <rPr>
            <sz val="10"/>
            <rFont val="Arial"/>
            <charset val="134"/>
          </rPr>
          <t>======
ID#AAACGTV1svM
Scott Palo    (2026-09-02 21:02:20)
Mid Semester Review Week</t>
        </r>
      </text>
    </comment>
    <comment ref="S2" authorId="0">
      <text>
        <r>
          <rPr>
            <sz val="10"/>
            <rFont val="Arial"/>
            <charset val="134"/>
          </rPr>
          <t>======
ID#AAACGTV1su4
Scott Palo    (2026-09-02 21:02:20)
Fall Break</t>
        </r>
      </text>
    </comment>
    <comment ref="U2" authorId="0">
      <text>
        <r>
          <rPr>
            <sz val="10"/>
            <rFont val="Arial"/>
            <charset val="134"/>
          </rPr>
          <t>======
ID#AAACGTV1svI
Scott Palo    (2026-09-02 21:02:20)
Final Review Week</t>
        </r>
      </text>
    </comment>
    <comment ref="V2" authorId="0">
      <text>
        <r>
          <rPr>
            <sz val="10"/>
            <rFont val="Arial"/>
            <charset val="134"/>
          </rPr>
          <t>======
ID#AAACGTV1su8
Scott Palo    (2026-09-02 21:02:20)
Final Report due Monday 12/16</t>
        </r>
      </text>
    </comment>
    <comment ref="C3" authorId="0">
      <text>
        <r>
          <rPr>
            <sz val="10"/>
            <rFont val="Arial"/>
            <charset val="134"/>
          </rPr>
          <t>======
ID#AAACGTV1svU
Scott Palo    (2026-09-02 21:02:20)
Class &amp; meetings should be 25-35% of your time</t>
        </r>
      </text>
    </comment>
    <comment ref="C17" authorId="0">
      <text>
        <r>
          <rPr>
            <sz val="10"/>
            <rFont val="Arial"/>
            <charset val="134"/>
          </rPr>
          <t>======
ID#AAACGTV1svE
Scott Palo    (2026-09-02 21:02:20)
Documentation should be 20-30% of your time</t>
        </r>
      </text>
    </comment>
    <comment ref="C29" authorId="0">
      <text>
        <r>
          <rPr>
            <sz val="10"/>
            <rFont val="Arial"/>
            <charset val="134"/>
          </rPr>
          <t>======
ID#AAACGTV1svA
Scott Palo    (2026-09-02 21:02:20)
Technical work should be 40-60% of your time.</t>
        </r>
      </text>
    </comment>
  </commentList>
</comments>
</file>

<file path=xl/sharedStrings.xml><?xml version="1.0" encoding="utf-8"?>
<sst xmlns="http://schemas.openxmlformats.org/spreadsheetml/2006/main" count="165" uniqueCount="96">
  <si>
    <t>Total Hours</t>
  </si>
  <si>
    <t>Week Start Date</t>
  </si>
  <si>
    <t>Estimated</t>
  </si>
  <si>
    <t>Total
Actual</t>
  </si>
  <si>
    <t>Status</t>
  </si>
  <si>
    <t>Comment</t>
  </si>
  <si>
    <t>Legend</t>
  </si>
  <si>
    <t>Class &amp; Meetings</t>
  </si>
  <si>
    <t>Baseline (DO NOT CHANGE)</t>
  </si>
  <si>
    <t>#</t>
  </si>
  <si>
    <t>Class</t>
  </si>
  <si>
    <t>Not Started</t>
  </si>
  <si>
    <t>Re-Baseline</t>
  </si>
  <si>
    <t>Rebaselining requires approval of Prof Palo</t>
  </si>
  <si>
    <t>Lecture</t>
  </si>
  <si>
    <t>Ontime (In Progress)</t>
  </si>
  <si>
    <t>Complete</t>
  </si>
  <si>
    <t># incidicates # of hrs worked</t>
  </si>
  <si>
    <t>Lab</t>
  </si>
  <si>
    <t>Completed early</t>
  </si>
  <si>
    <t>Meetings</t>
  </si>
  <si>
    <t>Late</t>
  </si>
  <si>
    <t>Very Late</t>
  </si>
  <si>
    <t>Full Team Mtg</t>
  </si>
  <si>
    <t>Subsys Meeting</t>
  </si>
  <si>
    <t>Project Prep</t>
  </si>
  <si>
    <t>Complete Paperwork</t>
  </si>
  <si>
    <t>Completed</t>
  </si>
  <si>
    <t>Read Documents</t>
  </si>
  <si>
    <t>Early</t>
  </si>
  <si>
    <t>Reviews</t>
  </si>
  <si>
    <t>Ontime and in progress</t>
  </si>
  <si>
    <t>Ontime</t>
  </si>
  <si>
    <t>Mid Sem Review</t>
  </si>
  <si>
    <t>Late &lt;1wk</t>
  </si>
  <si>
    <t>EOS Review</t>
  </si>
  <si>
    <t>Late &gt;1wk</t>
  </si>
  <si>
    <t>Documentation</t>
  </si>
  <si>
    <t>Semester Planning</t>
  </si>
  <si>
    <t>Notes</t>
  </si>
  <si>
    <t>SOW</t>
  </si>
  <si>
    <t>If a task gets removed, use strikeout (alt+shift+5) so that it is still visible</t>
  </si>
  <si>
    <t>Personal Plan</t>
  </si>
  <si>
    <t>Weekly Reporting</t>
  </si>
  <si>
    <t>If a task gets rebaselined just add a RB square but also leave the original baseline marker</t>
  </si>
  <si>
    <t>Quadcharts</t>
  </si>
  <si>
    <t>Review Prep</t>
  </si>
  <si>
    <t>Final Report</t>
  </si>
  <si>
    <t>Draft</t>
  </si>
  <si>
    <t>Technical</t>
  </si>
  <si>
    <t>MCT: Hydra Lithium Communication</t>
  </si>
  <si>
    <t>MCT: Review test docs</t>
  </si>
  <si>
    <t>MCT: Bench setup</t>
  </si>
  <si>
    <t>Learning Hydra</t>
  </si>
  <si>
    <t>MCT: Hydra development</t>
  </si>
  <si>
    <t>MCT: Hydra hardwired to Li2</t>
  </si>
  <si>
    <t>MCT: Hydra hardwired to CDH to Li2</t>
  </si>
  <si>
    <t>MCT: Practice run-through of test</t>
  </si>
  <si>
    <t>Late &amp; Complete</t>
  </si>
  <si>
    <t>MCT: Full run through of test</t>
  </si>
  <si>
    <t>MCT: Troubleshooting</t>
  </si>
  <si>
    <t>SCT-1: Hydra Lithium Communication</t>
  </si>
  <si>
    <t>SCT-1: Review test docs</t>
  </si>
  <si>
    <t>SCT-1: Bench setup</t>
  </si>
  <si>
    <t>SCT-1: Hydra development</t>
  </si>
  <si>
    <t>SCT-1: Practice run-through of test</t>
  </si>
  <si>
    <t>SCT-1: Full run through of test</t>
  </si>
  <si>
    <t>SCT-1: Troubleshooting</t>
  </si>
  <si>
    <t>Ground Station PC Architecture</t>
  </si>
  <si>
    <t>Setting up laptop for GND station</t>
  </si>
  <si>
    <t>Connecting GND station with GND station setup</t>
  </si>
  <si>
    <t>Verify ground station arch with current setup</t>
  </si>
  <si>
    <t>Planning final GND station architecture</t>
  </si>
  <si>
    <t>Running SCT-2</t>
  </si>
  <si>
    <t>Review SCT2 procedure</t>
  </si>
  <si>
    <t>SCT-2: Develop Hydra for SCT-2</t>
  </si>
  <si>
    <t>Reverify Hydra-Li Comms</t>
  </si>
  <si>
    <t>Reverify GND station setup</t>
  </si>
  <si>
    <t>Bench setup</t>
  </si>
  <si>
    <t>Practice run-through of SCT-2</t>
  </si>
  <si>
    <t>Full SCT2 runthrough</t>
  </si>
  <si>
    <t>Testing and troubleshooting</t>
  </si>
  <si>
    <t>Post-test documentation review</t>
  </si>
  <si>
    <t>Management</t>
  </si>
  <si>
    <t>Onboarding</t>
  </si>
  <si>
    <t>Documentation review</t>
  </si>
  <si>
    <t>TOTALS:</t>
  </si>
  <si>
    <t>Target</t>
  </si>
  <si>
    <t>Difference</t>
  </si>
  <si>
    <t xml:space="preserve">Removed 10/14: Palo and Rainville own GS PC bring-up, my task is verifying it once it works</t>
  </si>
  <si>
    <t xml:space="preserve">Verify GS PC in comms chain</t>
  </si>
  <si>
    <t xml:space="preserve">Blocked until Palo/Rainville have the GS PC working, needs re-baseline (Palo approval)</t>
  </si>
  <si>
    <t xml:space="preserve">GS PC bring-up owned by Palo and Rainville as of 10/14</t>
  </si>
  <si>
    <t xml:space="preserve">Ran 10/8 with Saanika, commands acknowledged through Hydra to CDH to Li-2</t>
  </si>
  <si>
    <t xml:space="preserve">Late (In Progress)</t>
  </si>
  <si>
    <t xml:space="preserve">Started week of 10/5, finishing week of 10/12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</si>
</sst>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m\/d"/>
    <numFmt numFmtId="41" formatCode="_(* #,##0_);_(* \(#,##0\);_(* &quot;-&quot;_);_(@_)"/>
    <numFmt numFmtId="43" formatCode="_(* #,##0.00_);_(* \(#,##0.00\);_(* &quot;-&quot;??_);_(@_)"/>
    <numFmt numFmtId="42" formatCode="_(&quot;$&quot;* #,##0_);_(&quot;$&quot;* \(#,##0\);_(&quot;$&quot;* &quot;-&quot;_);_(@_)"/>
  </numFmts>
  <fonts count="35">
    <font>
      <sz val="10"/>
      <color rgb="FF000000"/>
      <name val="Calibri"/>
      <charset val="1"/>
    </font>
    <font>
      <sz val="10"/>
      <color theme="1"/>
      <name val="Calibri"/>
      <charset val="1"/>
    </font>
    <font>
      <b/>
      <sz val="10"/>
      <color theme="1"/>
      <name val="Lato"/>
      <charset val="1"/>
    </font>
    <font>
      <b/>
      <sz val="11"/>
      <color theme="1"/>
      <name val="Lato"/>
      <charset val="1"/>
    </font>
    <font>
      <sz val="10"/>
      <color theme="1"/>
      <name val="Arial"/>
      <charset val="1"/>
    </font>
    <font>
      <sz val="10"/>
      <color rgb="FF000000"/>
      <name val="Arial"/>
      <charset val="1"/>
    </font>
    <font>
      <sz val="11"/>
      <color theme="1"/>
      <name val="Lato"/>
      <charset val="1"/>
    </font>
    <font>
      <sz val="10"/>
      <color rgb="FF000000"/>
      <name val="Lato"/>
      <charset val="1"/>
    </font>
    <font>
      <sz val="11"/>
      <color rgb="FF000000"/>
      <name val="Lato"/>
      <charset val="1"/>
    </font>
    <font>
      <sz val="10"/>
      <color rgb="FF000000"/>
      <name val="Lato, Arial"/>
      <charset val="1"/>
    </font>
    <font>
      <sz val="10"/>
      <color theme="1"/>
      <name val="Lato"/>
      <charset val="1"/>
    </font>
    <font>
      <b/>
      <sz val="12"/>
      <color theme="1"/>
      <name val="Calibri"/>
      <charset val="1"/>
    </font>
    <font>
      <b/>
      <sz val="10"/>
      <color theme="1"/>
      <name val="Calibri"/>
      <charset val="1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trike/>
      <sz val="11"/>
      <color theme="1"/>
      <name val="Lato"/>
      <charset val="1"/>
    </font>
  </fonts>
  <fills count="48">
    <fill>
      <patternFill patternType="none"/>
    </fill>
    <fill>
      <patternFill patternType="gray125"/>
    </fill>
    <fill>
      <patternFill patternType="solid">
        <fgColor rgb="FFD9D9D9"/>
        <bgColor rgb="FFC9DAF8"/>
      </patternFill>
    </fill>
    <fill>
      <patternFill patternType="solid">
        <fgColor rgb="FFC9DAF8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BFBFBF"/>
        <bgColor rgb="FFB7B7B7"/>
      </patternFill>
    </fill>
    <fill>
      <patternFill patternType="solid">
        <fgColor rgb="FF92D050"/>
        <bgColor rgb="FF57BB8A"/>
      </patternFill>
    </fill>
    <fill>
      <patternFill patternType="solid">
        <fgColor rgb="FFB7B7B7"/>
        <bgColor rgb="FFBFBFBF"/>
      </patternFill>
    </fill>
    <fill>
      <patternFill patternType="solid">
        <fgColor rgb="FFF3F3F3"/>
        <bgColor rgb="FFEFEFEF"/>
      </patternFill>
    </fill>
    <fill>
      <patternFill patternType="solid">
        <fgColor rgb="FFFFFFFF"/>
        <bgColor rgb="FFF3F3F3"/>
      </patternFill>
    </fill>
    <fill>
      <patternFill patternType="solid">
        <fgColor rgb="FFA6A6A6"/>
        <bgColor rgb="FFB7B7B7"/>
      </patternFill>
    </fill>
    <fill>
      <patternFill patternType="solid">
        <fgColor rgb="FFFFC000"/>
        <bgColor rgb="FFFBBC04"/>
      </patternFill>
    </fill>
    <fill>
      <patternFill patternType="solid">
        <fgColor rgb="FF7F7F7F"/>
        <bgColor rgb="FF666699"/>
      </patternFill>
    </fill>
    <fill>
      <patternFill patternType="solid">
        <fgColor rgb="FFB7E1CD"/>
        <bgColor rgb="FFC9DAF8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C0006"/>
      </patternFill>
    </fill>
    <fill>
      <patternFill patternType="solid">
        <fgColor rgb="FFF9CB9C"/>
        <bgColor rgb="FFFFC7CE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</fills>
  <borders count="3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rgb="FFA6A6A6"/>
      </left>
      <right/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A6A6A6"/>
      </right>
      <top style="medium">
        <color auto="1"/>
      </top>
      <bottom style="medium">
        <color auto="1"/>
      </bottom>
      <diagonal/>
    </border>
    <border>
      <left style="thin">
        <color rgb="FFA6A6A6"/>
      </left>
      <right/>
      <top/>
      <bottom style="medium">
        <color auto="1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9" fillId="3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3" fillId="0" borderId="36" applyNumberFormat="0" applyFill="0" applyAlignment="0" applyProtection="0">
      <alignment vertical="center"/>
    </xf>
    <xf numFmtId="0" fontId="32" fillId="22" borderId="35" applyNumberFormat="0" applyAlignment="0" applyProtection="0">
      <alignment vertical="center"/>
    </xf>
    <xf numFmtId="44" fontId="14" fillId="0" borderId="0" applyBorder="0" applyAlignment="0" applyProtection="0"/>
    <xf numFmtId="0" fontId="15" fillId="20" borderId="0" applyNumberFormat="0" applyBorder="0" applyAlignment="0" applyProtection="0">
      <alignment vertical="center"/>
    </xf>
    <xf numFmtId="0" fontId="31" fillId="47" borderId="34" applyNumberFormat="0" applyFont="0" applyAlignment="0" applyProtection="0">
      <alignment vertical="center"/>
    </xf>
    <xf numFmtId="0" fontId="22" fillId="24" borderId="3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22" borderId="31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41" fontId="14" fillId="0" borderId="0" applyBorder="0" applyAlignment="0" applyProtection="0"/>
    <xf numFmtId="0" fontId="15" fillId="1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2" fontId="14" fillId="0" borderId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43" fontId="14" fillId="0" borderId="0" applyBorder="0" applyAlignment="0" applyProtection="0"/>
    <xf numFmtId="0" fontId="25" fillId="31" borderId="32" applyNumberFormat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9" fontId="14" fillId="0" borderId="0" applyBorder="0" applyAlignment="0" applyProtection="0"/>
    <xf numFmtId="0" fontId="13" fillId="0" borderId="0" applyNumberFormat="0" applyFill="0" applyBorder="0" applyAlignment="0" applyProtection="0">
      <alignment vertical="center"/>
    </xf>
  </cellStyleXfs>
  <cellXfs count="91">
    <xf numFmtId="0" fontId="0" fillId="0" borderId="0" xfId="0"/>
    <xf numFmtId="0" fontId="0" fillId="0" borderId="0" xfId="0" applyAlignment="1" applyProtection="1"/>
    <xf numFmtId="0" fontId="1" fillId="0" borderId="1" xfId="0" applyFont="1" applyBorder="1" applyAlignment="1" applyProtection="1"/>
    <xf numFmtId="0" fontId="2" fillId="2" borderId="2" xfId="0" applyFont="1" applyFill="1" applyBorder="1" applyAlignment="1" applyProtection="1">
      <alignment horizontal="center"/>
    </xf>
    <xf numFmtId="0" fontId="3" fillId="0" borderId="3" xfId="0" applyFont="1" applyBorder="1" applyAlignment="1" applyProtection="1">
      <alignment wrapText="1"/>
    </xf>
    <xf numFmtId="0" fontId="3" fillId="2" borderId="4" xfId="0" applyFont="1" applyFill="1" applyBorder="1" applyAlignment="1" applyProtection="1">
      <alignment horizontal="center" wrapText="1"/>
    </xf>
    <xf numFmtId="0" fontId="3" fillId="3" borderId="5" xfId="0" applyFont="1" applyFill="1" applyBorder="1" applyAlignment="1" applyProtection="1">
      <alignment horizontal="center" wrapText="1"/>
    </xf>
    <xf numFmtId="9" fontId="3" fillId="3" borderId="6" xfId="0" applyNumberFormat="1" applyFont="1" applyFill="1" applyBorder="1" applyAlignment="1" applyProtection="1">
      <alignment wrapText="1"/>
    </xf>
    <xf numFmtId="0" fontId="3" fillId="3" borderId="6" xfId="0" applyFont="1" applyFill="1" applyBorder="1" applyAlignment="1" applyProtection="1">
      <alignment wrapText="1"/>
    </xf>
    <xf numFmtId="0" fontId="4" fillId="2" borderId="7" xfId="0" applyFont="1" applyFill="1" applyBorder="1" applyAlignment="1" applyProtection="1"/>
    <xf numFmtId="0" fontId="3" fillId="0" borderId="0" xfId="0" applyFont="1" applyBorder="1" applyAlignment="1" applyProtection="1"/>
    <xf numFmtId="0" fontId="5" fillId="4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/>
    <xf numFmtId="0" fontId="6" fillId="0" borderId="0" xfId="0" applyFont="1" applyAlignment="1" applyProtection="1"/>
    <xf numFmtId="0" fontId="4" fillId="2" borderId="3" xfId="0" applyFont="1" applyFill="1" applyBorder="1" applyAlignment="1" applyProtection="1"/>
    <xf numFmtId="0" fontId="4" fillId="2" borderId="4" xfId="0" applyFont="1" applyFill="1" applyBorder="1" applyAlignment="1" applyProtection="1"/>
    <xf numFmtId="0" fontId="6" fillId="0" borderId="4" xfId="0" applyFont="1" applyBorder="1" applyAlignment="1" applyProtection="1"/>
    <xf numFmtId="0" fontId="5" fillId="4" borderId="4" xfId="0" applyFont="1" applyFill="1" applyBorder="1" applyAlignment="1" applyProtection="1">
      <alignment horizontal="center"/>
    </xf>
    <xf numFmtId="0" fontId="3" fillId="3" borderId="5" xfId="0" applyFont="1" applyFill="1" applyBorder="1" applyAlignment="1" applyProtection="1">
      <alignment horizontal="center"/>
    </xf>
    <xf numFmtId="0" fontId="3" fillId="0" borderId="8" xfId="0" applyFont="1" applyBorder="1" applyAlignment="1" applyProtection="1">
      <alignment horizontal="center"/>
    </xf>
    <xf numFmtId="176" fontId="3" fillId="5" borderId="9" xfId="0" applyNumberFormat="1" applyFont="1" applyFill="1" applyBorder="1" applyAlignment="1" applyProtection="1">
      <alignment horizontal="center" wrapText="1"/>
    </xf>
    <xf numFmtId="176" fontId="3" fillId="5" borderId="10" xfId="0" applyNumberFormat="1" applyFont="1" applyFill="1" applyBorder="1" applyAlignment="1" applyProtection="1">
      <alignment horizontal="center"/>
    </xf>
    <xf numFmtId="176" fontId="3" fillId="6" borderId="11" xfId="0" applyNumberFormat="1" applyFont="1" applyFill="1" applyBorder="1" applyAlignment="1" applyProtection="1">
      <alignment horizontal="center"/>
    </xf>
    <xf numFmtId="0" fontId="7" fillId="7" borderId="12" xfId="0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 applyProtection="1">
      <alignment horizontal="center"/>
    </xf>
    <xf numFmtId="0" fontId="7" fillId="7" borderId="0" xfId="0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4" fillId="0" borderId="14" xfId="0" applyFont="1" applyBorder="1" applyAlignment="1" applyProtection="1">
      <alignment horizontal="center" vertical="center"/>
    </xf>
    <xf numFmtId="0" fontId="7" fillId="7" borderId="4" xfId="0" applyFont="1" applyFill="1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/>
    </xf>
    <xf numFmtId="0" fontId="4" fillId="8" borderId="14" xfId="0" applyFont="1" applyFill="1" applyBorder="1" applyAlignment="1" applyProtection="1">
      <alignment horizontal="center" vertical="center"/>
    </xf>
    <xf numFmtId="0" fontId="4" fillId="3" borderId="15" xfId="0" applyFont="1" applyFill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/>
    </xf>
    <xf numFmtId="0" fontId="4" fillId="8" borderId="0" xfId="0" applyFont="1" applyFill="1" applyBorder="1" applyAlignment="1" applyProtection="1">
      <alignment horizontal="center" vertical="center"/>
    </xf>
    <xf numFmtId="176" fontId="3" fillId="9" borderId="10" xfId="0" applyNumberFormat="1" applyFont="1" applyFill="1" applyBorder="1" applyAlignment="1" applyProtection="1">
      <alignment horizontal="center"/>
    </xf>
    <xf numFmtId="176" fontId="3" fillId="9" borderId="10" xfId="0" applyNumberFormat="1" applyFont="1" applyFill="1" applyBorder="1" applyAlignment="1" applyProtection="1">
      <alignment horizontal="center" wrapText="1"/>
    </xf>
    <xf numFmtId="176" fontId="3" fillId="0" borderId="10" xfId="0" applyNumberFormat="1" applyFont="1" applyBorder="1" applyAlignment="1" applyProtection="1">
      <alignment horizontal="center" wrapText="1"/>
    </xf>
    <xf numFmtId="0" fontId="1" fillId="10" borderId="0" xfId="0" applyFont="1" applyFill="1" applyAlignment="1" applyProtection="1"/>
    <xf numFmtId="0" fontId="1" fillId="0" borderId="0" xfId="0" applyFont="1" applyAlignment="1" applyProtection="1"/>
    <xf numFmtId="0" fontId="4" fillId="10" borderId="0" xfId="0" applyFont="1" applyFill="1" applyAlignment="1" applyProtection="1">
      <alignment horizontal="center" vertical="center"/>
    </xf>
    <xf numFmtId="0" fontId="1" fillId="0" borderId="4" xfId="0" applyFont="1" applyBorder="1" applyAlignment="1" applyProtection="1"/>
    <xf numFmtId="176" fontId="3" fillId="11" borderId="10" xfId="0" applyNumberFormat="1" applyFont="1" applyFill="1" applyBorder="1" applyAlignment="1" applyProtection="1">
      <alignment horizontal="center" wrapText="1"/>
    </xf>
    <xf numFmtId="0" fontId="7" fillId="10" borderId="0" xfId="0" applyFont="1" applyFill="1" applyBorder="1" applyAlignment="1" applyProtection="1">
      <alignment horizontal="center"/>
    </xf>
    <xf numFmtId="0" fontId="7" fillId="2" borderId="16" xfId="0" applyFont="1" applyFill="1" applyBorder="1" applyAlignment="1" applyProtection="1">
      <alignment horizontal="center"/>
    </xf>
    <xf numFmtId="0" fontId="4" fillId="2" borderId="0" xfId="0" applyFont="1" applyFill="1" applyAlignment="1" applyProtection="1">
      <alignment horizontal="center" vertical="center"/>
    </xf>
    <xf numFmtId="0" fontId="4" fillId="10" borderId="4" xfId="0" applyFont="1" applyFill="1" applyBorder="1" applyAlignment="1" applyProtection="1">
      <alignment horizontal="center" vertical="center"/>
    </xf>
    <xf numFmtId="0" fontId="4" fillId="12" borderId="0" xfId="0" applyFont="1" applyFill="1" applyBorder="1" applyAlignment="1" applyProtection="1">
      <alignment horizontal="center" vertical="center"/>
    </xf>
    <xf numFmtId="0" fontId="4" fillId="12" borderId="4" xfId="0" applyFont="1" applyFill="1" applyBorder="1" applyAlignment="1" applyProtection="1">
      <alignment horizontal="center" vertical="center"/>
    </xf>
    <xf numFmtId="0" fontId="4" fillId="0" borderId="17" xfId="0" applyFont="1" applyBorder="1" applyAlignment="1" applyProtection="1"/>
    <xf numFmtId="0" fontId="3" fillId="0" borderId="18" xfId="0" applyFont="1" applyBorder="1" applyAlignment="1" applyProtection="1">
      <alignment horizontal="center" wrapText="1"/>
    </xf>
    <xf numFmtId="0" fontId="4" fillId="3" borderId="4" xfId="0" applyFont="1" applyFill="1" applyBorder="1" applyAlignment="1" applyProtection="1"/>
    <xf numFmtId="0" fontId="4" fillId="3" borderId="18" xfId="0" applyFont="1" applyFill="1" applyBorder="1" applyAlignment="1" applyProtection="1"/>
    <xf numFmtId="0" fontId="8" fillId="3" borderId="19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7" fillId="10" borderId="4" xfId="0" applyFont="1" applyFill="1" applyBorder="1" applyAlignment="1" applyProtection="1">
      <alignment horizont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20" xfId="0" applyFont="1" applyFill="1" applyBorder="1" applyAlignment="1" applyProtection="1"/>
    <xf numFmtId="0" fontId="8" fillId="3" borderId="19" xfId="0" applyFont="1" applyFill="1" applyBorder="1" applyAlignment="1" applyProtection="1">
      <alignment horizontal="center" vertical="center" wrapText="1"/>
    </xf>
    <xf numFmtId="0" fontId="4" fillId="0" borderId="0" xfId="0" applyFont="1" applyAlignment="1" applyProtection="1"/>
    <xf numFmtId="0" fontId="3" fillId="0" borderId="0" xfId="0" applyFont="1" applyAlignment="1" applyProtection="1">
      <alignment horizontal="center" wrapText="1"/>
    </xf>
    <xf numFmtId="0" fontId="3" fillId="0" borderId="0" xfId="0" applyFont="1" applyAlignment="1" applyProtection="1">
      <alignment wrapText="1"/>
    </xf>
    <xf numFmtId="0" fontId="9" fillId="0" borderId="21" xfId="0" applyFont="1" applyBorder="1" applyAlignment="1" applyProtection="1">
      <alignment wrapText="1"/>
    </xf>
    <xf numFmtId="0" fontId="7" fillId="10" borderId="22" xfId="0" applyFont="1" applyFill="1" applyBorder="1" applyAlignment="1" applyProtection="1">
      <alignment horizontal="center"/>
    </xf>
    <xf numFmtId="0" fontId="10" fillId="0" borderId="0" xfId="0" applyFont="1" applyAlignment="1" applyProtection="1"/>
    <xf numFmtId="0" fontId="7" fillId="0" borderId="23" xfId="0" applyFont="1" applyBorder="1" applyAlignment="1" applyProtection="1">
      <alignment wrapText="1"/>
    </xf>
    <xf numFmtId="0" fontId="0" fillId="0" borderId="0" xfId="0" applyFont="1" applyAlignment="1" applyProtection="1"/>
    <xf numFmtId="0" fontId="7" fillId="0" borderId="24" xfId="0" applyFont="1" applyBorder="1" applyAlignment="1" applyProtection="1">
      <alignment wrapText="1"/>
    </xf>
    <xf numFmtId="0" fontId="10" fillId="13" borderId="23" xfId="0" applyFont="1" applyFill="1" applyBorder="1" applyAlignment="1" applyProtection="1">
      <alignment horizontal="center"/>
    </xf>
    <xf numFmtId="0" fontId="7" fillId="14" borderId="22" xfId="0" applyFont="1" applyFill="1" applyBorder="1" applyAlignment="1" applyProtection="1">
      <alignment horizontal="center"/>
    </xf>
    <xf numFmtId="0" fontId="7" fillId="11" borderId="23" xfId="0" applyFont="1" applyFill="1" applyBorder="1" applyAlignment="1" applyProtection="1">
      <alignment horizontal="center"/>
    </xf>
    <xf numFmtId="0" fontId="7" fillId="15" borderId="23" xfId="0" applyFont="1" applyFill="1" applyBorder="1" applyAlignment="1" applyProtection="1">
      <alignment horizontal="center"/>
    </xf>
    <xf numFmtId="0" fontId="7" fillId="0" borderId="0" xfId="0" applyFont="1" applyAlignment="1" applyProtection="1">
      <alignment wrapText="1"/>
    </xf>
    <xf numFmtId="0" fontId="7" fillId="0" borderId="0" xfId="0" applyFont="1" applyAlignment="1" applyProtection="1">
      <alignment horizontal="center"/>
    </xf>
    <xf numFmtId="0" fontId="10" fillId="3" borderId="23" xfId="0" applyFont="1" applyFill="1" applyBorder="1" applyAlignment="1" applyProtection="1">
      <alignment horizontal="center"/>
    </xf>
    <xf numFmtId="0" fontId="10" fillId="0" borderId="23" xfId="0" applyFont="1" applyBorder="1" applyAlignment="1" applyProtection="1"/>
    <xf numFmtId="0" fontId="7" fillId="14" borderId="23" xfId="0" applyFont="1" applyFill="1" applyBorder="1" applyAlignment="1" applyProtection="1">
      <alignment horizontal="center"/>
    </xf>
    <xf numFmtId="0" fontId="7" fillId="16" borderId="23" xfId="0" applyFont="1" applyFill="1" applyBorder="1" applyAlignment="1" applyProtection="1">
      <alignment horizontal="center"/>
    </xf>
    <xf numFmtId="0" fontId="4" fillId="0" borderId="25" xfId="0" applyFont="1" applyBorder="1" applyAlignment="1" applyProtection="1"/>
    <xf numFmtId="0" fontId="11" fillId="0" borderId="0" xfId="0" applyFont="1" applyBorder="1" applyAlignment="1" applyProtection="1">
      <alignment horizontal="center"/>
    </xf>
    <xf numFmtId="0" fontId="2" fillId="0" borderId="23" xfId="0" applyFont="1" applyBorder="1" applyAlignment="1" applyProtection="1">
      <alignment horizontal="center" vertical="center" wrapText="1"/>
    </xf>
    <xf numFmtId="0" fontId="10" fillId="0" borderId="23" xfId="0" applyFont="1" applyBorder="1" applyAlignment="1" applyProtection="1">
      <alignment horizontal="center" vertical="center" wrapText="1"/>
    </xf>
    <xf numFmtId="0" fontId="11" fillId="0" borderId="26" xfId="0" applyFont="1" applyBorder="1" applyAlignment="1" applyProtection="1">
      <alignment horizontal="left" vertical="center"/>
    </xf>
    <xf numFmtId="0" fontId="12" fillId="0" borderId="27" xfId="0" applyFont="1" applyBorder="1" applyAlignment="1" applyProtection="1">
      <alignment horizontal="center" vertical="center"/>
    </xf>
    <xf numFmtId="0" fontId="0" fillId="0" borderId="0" xfId="0" applyFont="1" applyAlignment="1" applyProtection="1">
      <alignment horizontal="center"/>
    </xf>
    <xf numFmtId="0" fontId="1" fillId="0" borderId="14" xfId="0" applyFont="1" applyBorder="1" applyAlignment="1" applyProtection="1">
      <alignment horizontal="center"/>
    </xf>
    <xf numFmtId="0" fontId="12" fillId="0" borderId="28" xfId="0" applyFont="1" applyBorder="1" applyAlignment="1" applyProtection="1"/>
    <xf numFmtId="0" fontId="12" fillId="0" borderId="0" xfId="0" applyFont="1" applyAlignment="1" applyProtection="1"/>
    <xf numFmtId="0" fontId="12" fillId="0" borderId="0" xfId="0" applyFont="1" applyAlignment="1" applyProtection="1">
      <alignment wrapText="1"/>
    </xf>
    <xf numFmtId="0" fontId="34" fillId="0" borderId="0" xfId="0" applyFont="1" applyAlignment="1" applyProtection="1"/>
    <xf numFmtId="0" fontId="34" fillId="0" borderId="4" xfId="0" applyFont="1" applyBorder="1" applyAlignment="1" applyProtection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5">
    <dxf>
      <fill>
        <patternFill patternType="solid">
          <bgColor rgb="FF57BB8A"/>
        </patternFill>
      </fill>
    </dxf>
    <dxf>
      <fill>
        <patternFill patternType="solid">
          <bgColor rgb="FFEA9999"/>
        </patternFill>
      </fill>
    </dxf>
    <dxf>
      <font>
        <color rgb="FFB7B7B7"/>
      </font>
    </dxf>
    <dxf>
      <font>
        <color rgb="FFEFEFEF"/>
      </font>
    </dxf>
    <dxf>
      <font>
        <color rgb="FFF3F3F3"/>
      </font>
    </dxf>
    <dxf>
      <font>
        <color rgb="FFFFFFFF"/>
      </font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B7E1CD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9CB9C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9DAF8"/>
        </patternFill>
      </fill>
    </dxf>
    <dxf>
      <fill>
        <patternFill patternType="solid">
          <bgColor rgb="FFFBBC0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FBFBF"/>
      <rgbColor rgb="007F7F7F"/>
      <rgbColor rgb="009999FF"/>
      <rgbColor rgb="00993366"/>
      <rgbColor rgb="00F3F3F3"/>
      <rgbColor rgb="00EFEFEF"/>
      <rgbColor rgb="00660066"/>
      <rgbColor rgb="00FF8080"/>
      <rgbColor rgb="000066CC"/>
      <rgbColor rgb="00C9DAF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9D9D9"/>
      <rgbColor rgb="00B7E1CD"/>
      <rgbColor rgb="00FFEB9C"/>
      <rgbColor rgb="00B7B7B7"/>
      <rgbColor rgb="00EA9999"/>
      <rgbColor rgb="00FFC7CE"/>
      <rgbColor rgb="00F9CB9C"/>
      <rgbColor rgb="003366FF"/>
      <rgbColor rgb="0057BB8A"/>
      <rgbColor rgb="0092D050"/>
      <rgbColor rgb="00FFC000"/>
      <rgbColor rgb="00FBBC04"/>
      <rgbColor rgb="00FF6600"/>
      <rgbColor rgb="00666699"/>
      <rgbColor rgb="00A6A6A6"/>
      <rgbColor rgb="00003366"/>
      <rgbColor rgb="0000B050"/>
      <rgbColor rgb="00003300"/>
      <rgbColor rgb="00333300"/>
      <rgbColor rgb="009C57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00"/>
  <sheetViews>
    <sheetView tabSelected="1" zoomScale="85" zoomScaleNormal="85" workbookViewId="0">
      <pane ySplit="2" topLeftCell="A36" activePane="bottomLeft" state="frozen"/>
      <selection/>
      <selection pane="bottomLeft" activeCell="L52" sqref="L52"/>
    </sheetView>
  </sheetViews>
  <sheetFormatPr defaultColWidth="14.4285714285714" defaultRowHeight="12.75"/>
  <cols>
    <col min="1" max="1" width="13" style="1" customWidth="1"/>
    <col min="2" max="2" width="15.2761904761905" style="1" customWidth="1"/>
    <col min="3" max="3" width="44" style="1" customWidth="1"/>
    <col min="4" max="5" width="12.2857142857143" style="1" customWidth="1"/>
    <col min="6" max="23" width="8.71428571428571" style="1" customWidth="1"/>
    <col min="24" max="24" width="21.7142857142857" style="1" customWidth="1"/>
    <col min="25" max="25" width="56" style="1" customWidth="1"/>
    <col min="26" max="26" width="25.7142857142857" style="1" customWidth="1"/>
    <col min="27" max="27" width="12.2857142857143" style="1" customWidth="1"/>
    <col min="28" max="28" width="27.1428571428571" style="1" customWidth="1"/>
  </cols>
  <sheetData>
    <row r="1" ht="18.75" customHeight="1" spans="1:28">
      <c r="A1" s="2"/>
      <c r="B1" s="2"/>
      <c r="C1" s="2"/>
      <c r="D1" s="3" t="s">
        <v>0</v>
      </c>
      <c r="E1" s="3"/>
      <c r="F1" s="19" t="s">
        <v>1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49"/>
      <c r="Y1" s="59"/>
      <c r="Z1" s="59"/>
      <c r="AA1" s="59"/>
      <c r="AB1" s="59"/>
    </row>
    <row r="2" ht="18.75" customHeight="1" spans="1:28">
      <c r="A2" s="4"/>
      <c r="B2" s="4"/>
      <c r="C2" s="4"/>
      <c r="D2" s="5" t="s">
        <v>2</v>
      </c>
      <c r="E2" s="5" t="s">
        <v>3</v>
      </c>
      <c r="F2" s="20">
        <v>46258</v>
      </c>
      <c r="G2" s="21">
        <f t="shared" ref="G2:V2" si="0">F2+7</f>
        <v>46265</v>
      </c>
      <c r="H2" s="22">
        <f t="shared" si="0"/>
        <v>46272</v>
      </c>
      <c r="I2" s="35">
        <f t="shared" si="0"/>
        <v>46279</v>
      </c>
      <c r="J2" s="36">
        <f t="shared" si="0"/>
        <v>46286</v>
      </c>
      <c r="K2" s="37">
        <f t="shared" si="0"/>
        <v>46293</v>
      </c>
      <c r="L2" s="36">
        <f t="shared" si="0"/>
        <v>46300</v>
      </c>
      <c r="M2" s="42">
        <f t="shared" si="0"/>
        <v>46307</v>
      </c>
      <c r="N2" s="36">
        <f t="shared" si="0"/>
        <v>46314</v>
      </c>
      <c r="O2" s="36">
        <f t="shared" si="0"/>
        <v>46321</v>
      </c>
      <c r="P2" s="37">
        <f t="shared" si="0"/>
        <v>46328</v>
      </c>
      <c r="Q2" s="36">
        <f t="shared" si="0"/>
        <v>46335</v>
      </c>
      <c r="R2" s="37">
        <f t="shared" si="0"/>
        <v>46342</v>
      </c>
      <c r="S2" s="42">
        <f t="shared" si="0"/>
        <v>46349</v>
      </c>
      <c r="T2" s="37">
        <f t="shared" si="0"/>
        <v>46356</v>
      </c>
      <c r="U2" s="42">
        <f t="shared" si="0"/>
        <v>46363</v>
      </c>
      <c r="V2" s="42">
        <f t="shared" si="0"/>
        <v>46370</v>
      </c>
      <c r="W2" s="37"/>
      <c r="X2" s="50" t="s">
        <v>4</v>
      </c>
      <c r="Y2" s="60" t="s">
        <v>5</v>
      </c>
      <c r="Z2" s="60" t="s">
        <v>6</v>
      </c>
      <c r="AA2" s="61"/>
      <c r="AB2" s="61"/>
    </row>
    <row r="3" ht="18.75" customHeight="1" spans="1:28">
      <c r="A3" s="6" t="s">
        <v>7</v>
      </c>
      <c r="B3" s="6"/>
      <c r="C3" s="7">
        <f>D3/$D$65</f>
        <v>0.31294964028777</v>
      </c>
      <c r="D3" s="8">
        <f>D4+D7+D11+D14</f>
        <v>87</v>
      </c>
      <c r="E3" s="23">
        <f t="shared" ref="E3:E64" si="1">SUM(F3:W3)</f>
        <v>61.5</v>
      </c>
      <c r="F3" s="24">
        <f t="shared" ref="F3:V3" si="2">F4+F7+F11+F14</f>
        <v>14</v>
      </c>
      <c r="G3" s="24">
        <f t="shared" si="2"/>
        <v>8</v>
      </c>
      <c r="H3" s="24">
        <f t="shared" si="2"/>
        <v>10</v>
      </c>
      <c r="I3" s="24">
        <f t="shared" si="2"/>
        <v>8</v>
      </c>
      <c r="J3" s="24">
        <f t="shared" si="2"/>
        <v>8</v>
      </c>
      <c r="K3" s="24">
        <f t="shared" si="2"/>
        <v>7</v>
      </c>
      <c r="L3" s="24">
        <f t="shared" si="2"/>
        <v>6.5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51"/>
      <c r="X3" s="52"/>
      <c r="Y3" s="59"/>
      <c r="Z3" s="62" t="s">
        <v>8</v>
      </c>
      <c r="AA3" s="63" t="s">
        <v>9</v>
      </c>
      <c r="AB3" s="64"/>
    </row>
    <row r="4" ht="18.75" customHeight="1" spans="1:28">
      <c r="A4" s="9"/>
      <c r="B4" s="10" t="s">
        <v>10</v>
      </c>
      <c r="C4" s="10"/>
      <c r="D4" s="11">
        <f>SUM(D5:D6)</f>
        <v>35</v>
      </c>
      <c r="E4" s="25">
        <f t="shared" si="1"/>
        <v>21</v>
      </c>
      <c r="F4" s="26">
        <f t="shared" ref="F4:W4" si="3">SUM(F5:F6)</f>
        <v>3</v>
      </c>
      <c r="G4" s="26">
        <f t="shared" si="3"/>
        <v>3</v>
      </c>
      <c r="H4" s="26">
        <f t="shared" si="3"/>
        <v>3</v>
      </c>
      <c r="I4" s="26">
        <f t="shared" si="3"/>
        <v>3</v>
      </c>
      <c r="J4" s="26">
        <f t="shared" si="3"/>
        <v>3</v>
      </c>
      <c r="K4" s="26">
        <f t="shared" si="3"/>
        <v>3</v>
      </c>
      <c r="L4" s="26">
        <f t="shared" si="3"/>
        <v>3</v>
      </c>
      <c r="M4" s="26">
        <f t="shared" si="3"/>
        <v>0</v>
      </c>
      <c r="N4" s="26">
        <f t="shared" si="3"/>
        <v>0</v>
      </c>
      <c r="O4" s="26">
        <f t="shared" si="3"/>
        <v>0</v>
      </c>
      <c r="P4" s="26">
        <f t="shared" si="3"/>
        <v>0</v>
      </c>
      <c r="Q4" s="26">
        <f t="shared" si="3"/>
        <v>0</v>
      </c>
      <c r="R4" s="26">
        <f t="shared" si="3"/>
        <v>0</v>
      </c>
      <c r="S4" s="26">
        <f t="shared" si="3"/>
        <v>0</v>
      </c>
      <c r="T4" s="26">
        <f t="shared" si="3"/>
        <v>0</v>
      </c>
      <c r="U4" s="26">
        <f t="shared" si="3"/>
        <v>0</v>
      </c>
      <c r="V4" s="26">
        <f t="shared" si="3"/>
        <v>0</v>
      </c>
      <c r="W4" s="34">
        <f t="shared" si="3"/>
        <v>0</v>
      </c>
      <c r="X4" s="53" t="s">
        <v>11</v>
      </c>
      <c r="Y4" s="59"/>
      <c r="Z4" s="65" t="s">
        <v>12</v>
      </c>
      <c r="AA4" s="44" t="s">
        <v>9</v>
      </c>
      <c r="AB4" s="66" t="s">
        <v>13</v>
      </c>
    </row>
    <row r="5" ht="18.75" customHeight="1" spans="1:28">
      <c r="A5" s="9"/>
      <c r="B5" s="12"/>
      <c r="C5" s="13" t="s">
        <v>14</v>
      </c>
      <c r="D5" s="11">
        <v>15</v>
      </c>
      <c r="E5" s="25">
        <f t="shared" si="1"/>
        <v>7</v>
      </c>
      <c r="F5" s="27">
        <v>1</v>
      </c>
      <c r="G5" s="26">
        <v>1</v>
      </c>
      <c r="H5" s="26">
        <v>1</v>
      </c>
      <c r="I5" s="26">
        <v>1</v>
      </c>
      <c r="J5" s="26">
        <v>1</v>
      </c>
      <c r="K5" s="26">
        <v>1</v>
      </c>
      <c r="L5" s="26">
        <v>1</v>
      </c>
      <c r="M5" s="26"/>
      <c r="N5" s="26"/>
      <c r="O5" s="26"/>
      <c r="P5" s="26"/>
      <c r="Q5" s="26"/>
      <c r="R5" s="26"/>
      <c r="S5" s="47"/>
      <c r="T5" s="26"/>
      <c r="U5" s="26"/>
      <c r="V5" s="26"/>
      <c r="W5" s="26"/>
      <c r="X5" s="53" t="s">
        <v>15</v>
      </c>
      <c r="Y5" s="59"/>
      <c r="Z5" s="67" t="s">
        <v>16</v>
      </c>
      <c r="AA5" s="68" t="s">
        <v>9</v>
      </c>
      <c r="AB5" s="64" t="s">
        <v>17</v>
      </c>
    </row>
    <row r="6" ht="18.75" customHeight="1" spans="1:28">
      <c r="A6" s="14"/>
      <c r="B6" s="15"/>
      <c r="C6" s="16" t="s">
        <v>18</v>
      </c>
      <c r="D6" s="17">
        <v>20</v>
      </c>
      <c r="E6" s="28">
        <f t="shared" si="1"/>
        <v>14</v>
      </c>
      <c r="F6" s="29">
        <v>2</v>
      </c>
      <c r="G6" s="30">
        <v>2</v>
      </c>
      <c r="H6" s="30">
        <v>2</v>
      </c>
      <c r="I6" s="30">
        <v>2</v>
      </c>
      <c r="J6" s="30">
        <v>2</v>
      </c>
      <c r="K6" s="30">
        <v>2</v>
      </c>
      <c r="L6" s="30">
        <v>2</v>
      </c>
      <c r="M6" s="30"/>
      <c r="N6" s="30"/>
      <c r="O6" s="30"/>
      <c r="P6" s="30"/>
      <c r="Q6" s="30"/>
      <c r="R6" s="30"/>
      <c r="S6" s="48"/>
      <c r="T6" s="30"/>
      <c r="U6" s="30"/>
      <c r="V6" s="30"/>
      <c r="W6" s="30"/>
      <c r="X6" s="54" t="s">
        <v>15</v>
      </c>
      <c r="Y6" s="59"/>
      <c r="Z6" s="65" t="s">
        <v>19</v>
      </c>
      <c r="AA6" s="69" t="s">
        <v>9</v>
      </c>
      <c r="AB6" s="59"/>
    </row>
    <row r="7" ht="18.75" customHeight="1" spans="1:28">
      <c r="A7" s="9"/>
      <c r="B7" s="10" t="s">
        <v>20</v>
      </c>
      <c r="C7" s="10"/>
      <c r="D7" s="11">
        <f>SUM(D8:D10)</f>
        <v>33</v>
      </c>
      <c r="E7" s="25">
        <f t="shared" si="1"/>
        <v>25.5</v>
      </c>
      <c r="F7" s="31">
        <f t="shared" ref="F7:W7" si="4">SUM(F8:F10)</f>
        <v>4</v>
      </c>
      <c r="G7" s="31">
        <f t="shared" si="4"/>
        <v>3</v>
      </c>
      <c r="H7" s="31">
        <f t="shared" si="4"/>
        <v>3</v>
      </c>
      <c r="I7" s="31">
        <f t="shared" si="4"/>
        <v>3</v>
      </c>
      <c r="J7" s="31">
        <f t="shared" si="4"/>
        <v>5</v>
      </c>
      <c r="K7" s="31">
        <f t="shared" si="4"/>
        <v>4</v>
      </c>
      <c r="L7" s="31">
        <f t="shared" si="4"/>
        <v>3.5</v>
      </c>
      <c r="M7" s="31">
        <f t="shared" si="4"/>
        <v>0</v>
      </c>
      <c r="N7" s="31">
        <f t="shared" si="4"/>
        <v>0</v>
      </c>
      <c r="O7" s="31">
        <f t="shared" si="4"/>
        <v>0</v>
      </c>
      <c r="P7" s="31">
        <f t="shared" si="4"/>
        <v>0</v>
      </c>
      <c r="Q7" s="31">
        <f t="shared" si="4"/>
        <v>0</v>
      </c>
      <c r="R7" s="31">
        <f t="shared" si="4"/>
        <v>0</v>
      </c>
      <c r="S7" s="31">
        <f t="shared" si="4"/>
        <v>0</v>
      </c>
      <c r="T7" s="31">
        <f t="shared" si="4"/>
        <v>0</v>
      </c>
      <c r="U7" s="31">
        <f t="shared" si="4"/>
        <v>0</v>
      </c>
      <c r="V7" s="31">
        <f t="shared" si="4"/>
        <v>0</v>
      </c>
      <c r="W7" s="34">
        <f t="shared" si="4"/>
        <v>0</v>
      </c>
      <c r="X7" s="53" t="s">
        <v>15</v>
      </c>
      <c r="Y7" s="59"/>
      <c r="Z7" s="65" t="s">
        <v>21</v>
      </c>
      <c r="AA7" s="70" t="s">
        <v>9</v>
      </c>
      <c r="AB7" s="59"/>
    </row>
    <row r="8" ht="18.75" customHeight="1" spans="1:28">
      <c r="A8" s="9"/>
      <c r="B8" s="12"/>
      <c r="C8" s="13" t="s">
        <v>18</v>
      </c>
      <c r="D8" s="11">
        <v>9</v>
      </c>
      <c r="E8" s="25">
        <f t="shared" si="1"/>
        <v>7</v>
      </c>
      <c r="F8" s="27">
        <v>1</v>
      </c>
      <c r="G8" s="26">
        <v>1</v>
      </c>
      <c r="H8" s="26">
        <v>1</v>
      </c>
      <c r="I8" s="26">
        <v>1</v>
      </c>
      <c r="J8" s="26">
        <v>1</v>
      </c>
      <c r="K8" s="26">
        <v>1</v>
      </c>
      <c r="L8" s="26">
        <v>1</v>
      </c>
      <c r="M8" s="26"/>
      <c r="N8" s="26"/>
      <c r="O8" s="26"/>
      <c r="P8" s="26"/>
      <c r="Q8" s="26"/>
      <c r="R8" s="26"/>
      <c r="S8" s="47"/>
      <c r="T8" s="26"/>
      <c r="U8" s="26"/>
      <c r="V8" s="26"/>
      <c r="W8" s="26"/>
      <c r="X8" s="53" t="s">
        <v>15</v>
      </c>
      <c r="Y8" s="59"/>
      <c r="Z8" s="65" t="s">
        <v>22</v>
      </c>
      <c r="AA8" s="71" t="s">
        <v>9</v>
      </c>
      <c r="AB8" s="59"/>
    </row>
    <row r="9" ht="18.75" customHeight="1" spans="1:28">
      <c r="A9" s="9"/>
      <c r="B9" s="12"/>
      <c r="C9" s="13" t="s">
        <v>23</v>
      </c>
      <c r="D9" s="11">
        <v>12</v>
      </c>
      <c r="E9" s="25">
        <f t="shared" si="1"/>
        <v>7</v>
      </c>
      <c r="F9" s="27">
        <v>1</v>
      </c>
      <c r="G9" s="26">
        <v>1</v>
      </c>
      <c r="H9" s="26">
        <v>1</v>
      </c>
      <c r="I9" s="26">
        <v>1</v>
      </c>
      <c r="J9" s="26">
        <v>1</v>
      </c>
      <c r="K9" s="26">
        <v>1</v>
      </c>
      <c r="L9" s="26">
        <v>1</v>
      </c>
      <c r="M9" s="26"/>
      <c r="N9" s="26"/>
      <c r="O9" s="26"/>
      <c r="P9" s="26"/>
      <c r="Q9" s="26"/>
      <c r="R9" s="26"/>
      <c r="S9" s="47"/>
      <c r="T9" s="26"/>
      <c r="U9" s="26"/>
      <c r="V9" s="26"/>
      <c r="W9" s="26"/>
      <c r="X9" s="53" t="s">
        <v>15</v>
      </c>
      <c r="Y9" s="59"/>
      <c r="Z9" s="72"/>
      <c r="AA9" s="73"/>
      <c r="AB9" s="59"/>
    </row>
    <row r="10" ht="18.75" customHeight="1" spans="1:28">
      <c r="A10" s="14"/>
      <c r="B10" s="15"/>
      <c r="C10" s="16" t="s">
        <v>24</v>
      </c>
      <c r="D10" s="17">
        <v>12</v>
      </c>
      <c r="E10" s="28">
        <f t="shared" si="1"/>
        <v>11.5</v>
      </c>
      <c r="F10" s="29">
        <v>2</v>
      </c>
      <c r="G10" s="30">
        <v>1</v>
      </c>
      <c r="H10" s="30">
        <v>1</v>
      </c>
      <c r="I10" s="30">
        <v>1</v>
      </c>
      <c r="J10" s="30">
        <v>3</v>
      </c>
      <c r="K10" s="30">
        <v>2</v>
      </c>
      <c r="L10" s="30">
        <v>1.5</v>
      </c>
      <c r="M10" s="30"/>
      <c r="N10" s="30"/>
      <c r="O10" s="30"/>
      <c r="P10" s="30"/>
      <c r="Q10" s="30"/>
      <c r="R10" s="30"/>
      <c r="S10" s="48"/>
      <c r="T10" s="30"/>
      <c r="U10" s="30"/>
      <c r="V10" s="30"/>
      <c r="W10" s="30"/>
      <c r="X10" s="54" t="s">
        <v>15</v>
      </c>
      <c r="Y10" s="59"/>
      <c r="Z10" s="72"/>
      <c r="AA10" s="64"/>
      <c r="AB10" s="59"/>
    </row>
    <row r="11" ht="18.75" customHeight="1" spans="1:28">
      <c r="A11" s="9"/>
      <c r="B11" s="10" t="s">
        <v>25</v>
      </c>
      <c r="C11" s="10"/>
      <c r="D11" s="11">
        <f>SUM(D12:D13)</f>
        <v>15</v>
      </c>
      <c r="E11" s="25">
        <f t="shared" si="1"/>
        <v>15</v>
      </c>
      <c r="F11" s="31">
        <f t="shared" ref="F11:W11" si="5">SUM(F12:F13)</f>
        <v>7</v>
      </c>
      <c r="G11" s="31">
        <f t="shared" si="5"/>
        <v>2</v>
      </c>
      <c r="H11" s="31">
        <f t="shared" si="5"/>
        <v>4</v>
      </c>
      <c r="I11" s="31">
        <f t="shared" si="5"/>
        <v>2</v>
      </c>
      <c r="J11" s="31">
        <f t="shared" si="5"/>
        <v>0</v>
      </c>
      <c r="K11" s="31">
        <f t="shared" si="5"/>
        <v>0</v>
      </c>
      <c r="L11" s="31">
        <f t="shared" si="5"/>
        <v>0</v>
      </c>
      <c r="M11" s="31">
        <f t="shared" si="5"/>
        <v>0</v>
      </c>
      <c r="N11" s="31">
        <f t="shared" si="5"/>
        <v>0</v>
      </c>
      <c r="O11" s="31">
        <f t="shared" si="5"/>
        <v>0</v>
      </c>
      <c r="P11" s="31">
        <f t="shared" si="5"/>
        <v>0</v>
      </c>
      <c r="Q11" s="31">
        <f t="shared" si="5"/>
        <v>0</v>
      </c>
      <c r="R11" s="31">
        <f t="shared" si="5"/>
        <v>0</v>
      </c>
      <c r="S11" s="31">
        <f t="shared" si="5"/>
        <v>0</v>
      </c>
      <c r="T11" s="31">
        <f t="shared" si="5"/>
        <v>0</v>
      </c>
      <c r="U11" s="31">
        <f t="shared" si="5"/>
        <v>0</v>
      </c>
      <c r="V11" s="31">
        <f t="shared" si="5"/>
        <v>0</v>
      </c>
      <c r="W11" s="34">
        <f t="shared" si="5"/>
        <v>0</v>
      </c>
      <c r="X11" s="53" t="s">
        <v>15</v>
      </c>
      <c r="Y11" s="59"/>
      <c r="Z11" s="65" t="s">
        <v>11</v>
      </c>
      <c r="AA11" s="74" t="s">
        <v>11</v>
      </c>
      <c r="AB11" s="59"/>
    </row>
    <row r="12" ht="18.75" customHeight="1" spans="1:28">
      <c r="A12" s="9"/>
      <c r="B12" s="12"/>
      <c r="C12" s="13" t="s">
        <v>26</v>
      </c>
      <c r="D12" s="11">
        <v>3</v>
      </c>
      <c r="E12" s="25">
        <f t="shared" si="1"/>
        <v>3</v>
      </c>
      <c r="F12" s="27">
        <v>3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47"/>
      <c r="T12" s="26"/>
      <c r="U12" s="26"/>
      <c r="V12" s="26"/>
      <c r="W12" s="26"/>
      <c r="X12" s="53" t="s">
        <v>15</v>
      </c>
      <c r="Y12" s="59"/>
      <c r="Z12" s="75" t="s">
        <v>27</v>
      </c>
      <c r="AA12" s="68" t="s">
        <v>16</v>
      </c>
      <c r="AB12" s="59"/>
    </row>
    <row r="13" ht="18.75" customHeight="1" spans="1:28">
      <c r="A13" s="14"/>
      <c r="B13" s="15"/>
      <c r="C13" s="16" t="s">
        <v>28</v>
      </c>
      <c r="D13" s="17">
        <v>12</v>
      </c>
      <c r="E13" s="28">
        <f t="shared" si="1"/>
        <v>12</v>
      </c>
      <c r="F13" s="29">
        <v>4</v>
      </c>
      <c r="G13" s="30">
        <v>2</v>
      </c>
      <c r="H13" s="30">
        <v>4</v>
      </c>
      <c r="I13" s="30">
        <v>2</v>
      </c>
      <c r="J13" s="30"/>
      <c r="K13" s="30"/>
      <c r="L13" s="30"/>
      <c r="M13" s="30"/>
      <c r="N13" s="30"/>
      <c r="O13" s="30"/>
      <c r="P13" s="30"/>
      <c r="Q13" s="30"/>
      <c r="R13" s="30"/>
      <c r="S13" s="48"/>
      <c r="T13" s="30"/>
      <c r="U13" s="30"/>
      <c r="V13" s="30"/>
      <c r="W13" s="30"/>
      <c r="X13" s="54" t="s">
        <v>15</v>
      </c>
      <c r="Y13" s="59"/>
      <c r="Z13" s="65" t="s">
        <v>19</v>
      </c>
      <c r="AA13" s="76" t="s">
        <v>29</v>
      </c>
      <c r="AB13" s="59"/>
    </row>
    <row r="14" ht="18.75" customHeight="1" spans="1:28">
      <c r="A14" s="9"/>
      <c r="B14" s="10" t="s">
        <v>30</v>
      </c>
      <c r="C14" s="10"/>
      <c r="D14" s="11">
        <f>SUM(D15:D16)</f>
        <v>4</v>
      </c>
      <c r="E14" s="25">
        <f t="shared" si="1"/>
        <v>0</v>
      </c>
      <c r="F14" s="31">
        <f t="shared" ref="F14:W14" si="6">SUM(F15:F16)</f>
        <v>0</v>
      </c>
      <c r="G14" s="31">
        <f t="shared" si="6"/>
        <v>0</v>
      </c>
      <c r="H14" s="31">
        <f t="shared" si="6"/>
        <v>0</v>
      </c>
      <c r="I14" s="31">
        <f t="shared" si="6"/>
        <v>0</v>
      </c>
      <c r="J14" s="31">
        <f t="shared" si="6"/>
        <v>0</v>
      </c>
      <c r="K14" s="31">
        <f t="shared" si="6"/>
        <v>0</v>
      </c>
      <c r="L14" s="31">
        <f t="shared" si="6"/>
        <v>0</v>
      </c>
      <c r="M14" s="31">
        <f t="shared" si="6"/>
        <v>0</v>
      </c>
      <c r="N14" s="31">
        <f t="shared" si="6"/>
        <v>0</v>
      </c>
      <c r="O14" s="31">
        <f t="shared" si="6"/>
        <v>0</v>
      </c>
      <c r="P14" s="31">
        <f t="shared" si="6"/>
        <v>0</v>
      </c>
      <c r="Q14" s="31">
        <f t="shared" si="6"/>
        <v>0</v>
      </c>
      <c r="R14" s="31">
        <f t="shared" si="6"/>
        <v>0</v>
      </c>
      <c r="S14" s="31">
        <f t="shared" si="6"/>
        <v>0</v>
      </c>
      <c r="T14" s="31">
        <f t="shared" si="6"/>
        <v>0</v>
      </c>
      <c r="U14" s="31">
        <f t="shared" si="6"/>
        <v>0</v>
      </c>
      <c r="V14" s="31">
        <f t="shared" si="6"/>
        <v>0</v>
      </c>
      <c r="W14" s="34">
        <f t="shared" si="6"/>
        <v>0</v>
      </c>
      <c r="X14" s="53" t="s">
        <v>11</v>
      </c>
      <c r="Y14" s="59"/>
      <c r="Z14" s="65" t="s">
        <v>31</v>
      </c>
      <c r="AA14" s="77" t="s">
        <v>32</v>
      </c>
      <c r="AB14" s="59"/>
    </row>
    <row r="15" ht="18.75" customHeight="1" spans="1:28">
      <c r="A15" s="9"/>
      <c r="B15" s="12"/>
      <c r="C15" s="13" t="s">
        <v>33</v>
      </c>
      <c r="D15" s="11">
        <v>2</v>
      </c>
      <c r="E15" s="25">
        <f t="shared" si="1"/>
        <v>0</v>
      </c>
      <c r="F15" s="27"/>
      <c r="G15" s="26"/>
      <c r="H15" s="26"/>
      <c r="I15" s="26"/>
      <c r="J15" s="26"/>
      <c r="K15" s="26"/>
      <c r="L15" s="26"/>
      <c r="M15" s="43"/>
      <c r="N15" s="26"/>
      <c r="O15" s="44"/>
      <c r="P15" s="26"/>
      <c r="Q15" s="26"/>
      <c r="R15" s="26"/>
      <c r="S15" s="47"/>
      <c r="T15" s="26"/>
      <c r="U15" s="26"/>
      <c r="V15" s="26"/>
      <c r="W15" s="26"/>
      <c r="X15" s="53" t="s">
        <v>11</v>
      </c>
      <c r="Y15" s="59"/>
      <c r="Z15" s="65" t="s">
        <v>34</v>
      </c>
      <c r="AA15" s="70" t="s">
        <v>21</v>
      </c>
      <c r="AB15" s="59"/>
    </row>
    <row r="16" ht="18.75" customHeight="1" spans="1:28">
      <c r="A16" s="14"/>
      <c r="B16" s="15"/>
      <c r="C16" s="16" t="s">
        <v>35</v>
      </c>
      <c r="D16" s="17">
        <v>2</v>
      </c>
      <c r="E16" s="28">
        <f t="shared" si="1"/>
        <v>0</v>
      </c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48"/>
      <c r="T16" s="30"/>
      <c r="U16" s="55"/>
      <c r="V16" s="30"/>
      <c r="W16" s="30"/>
      <c r="X16" s="54" t="s">
        <v>11</v>
      </c>
      <c r="Y16" s="59"/>
      <c r="Z16" s="65" t="s">
        <v>36</v>
      </c>
      <c r="AA16" s="71" t="s">
        <v>22</v>
      </c>
      <c r="AB16" s="59"/>
    </row>
    <row r="17" ht="18.75" customHeight="1" spans="1:28">
      <c r="A17" s="18" t="s">
        <v>37</v>
      </c>
      <c r="B17" s="18"/>
      <c r="C17" s="7">
        <f>D17/$D$65</f>
        <v>0.223021582733813</v>
      </c>
      <c r="D17" s="8">
        <f>D18+D21+D23+D26</f>
        <v>62</v>
      </c>
      <c r="E17" s="23">
        <f t="shared" si="1"/>
        <v>9</v>
      </c>
      <c r="F17" s="32">
        <f t="shared" ref="F17:V17" si="7">F18+F21+F23+F26</f>
        <v>1</v>
      </c>
      <c r="G17" s="32">
        <f t="shared" si="7"/>
        <v>2</v>
      </c>
      <c r="H17" s="32">
        <f t="shared" si="7"/>
        <v>2</v>
      </c>
      <c r="I17" s="32">
        <f t="shared" si="7"/>
        <v>1</v>
      </c>
      <c r="J17" s="32">
        <f t="shared" si="7"/>
        <v>1</v>
      </c>
      <c r="K17" s="32">
        <f t="shared" si="7"/>
        <v>1</v>
      </c>
      <c r="L17" s="32">
        <f t="shared" si="7"/>
        <v>1</v>
      </c>
      <c r="M17" s="32">
        <f t="shared" si="7"/>
        <v>0</v>
      </c>
      <c r="N17" s="32">
        <f t="shared" si="7"/>
        <v>0</v>
      </c>
      <c r="O17" s="32">
        <f t="shared" si="7"/>
        <v>0</v>
      </c>
      <c r="P17" s="32">
        <f t="shared" si="7"/>
        <v>0</v>
      </c>
      <c r="Q17" s="32">
        <f t="shared" si="7"/>
        <v>0</v>
      </c>
      <c r="R17" s="32">
        <f t="shared" si="7"/>
        <v>0</v>
      </c>
      <c r="S17" s="32">
        <f t="shared" si="7"/>
        <v>0</v>
      </c>
      <c r="T17" s="32">
        <f t="shared" si="7"/>
        <v>0</v>
      </c>
      <c r="U17" s="32">
        <f t="shared" si="7"/>
        <v>0</v>
      </c>
      <c r="V17" s="32">
        <f t="shared" si="7"/>
        <v>0</v>
      </c>
      <c r="W17" s="56"/>
      <c r="X17" s="57"/>
      <c r="Y17" s="59"/>
      <c r="AA17" s="78"/>
      <c r="AB17" s="59"/>
    </row>
    <row r="18" ht="18.75" customHeight="1" spans="1:28">
      <c r="A18" s="9"/>
      <c r="B18" s="10" t="s">
        <v>38</v>
      </c>
      <c r="C18" s="10"/>
      <c r="D18" s="11">
        <f>SUM(D19:D20)</f>
        <v>4</v>
      </c>
      <c r="E18" s="25">
        <f t="shared" si="1"/>
        <v>4</v>
      </c>
      <c r="F18" s="31">
        <f t="shared" ref="F18:W18" si="8">SUM(F19:F20)</f>
        <v>1</v>
      </c>
      <c r="G18" s="31">
        <f t="shared" si="8"/>
        <v>2</v>
      </c>
      <c r="H18" s="31">
        <f t="shared" si="8"/>
        <v>1</v>
      </c>
      <c r="I18" s="31">
        <f t="shared" si="8"/>
        <v>0</v>
      </c>
      <c r="J18" s="31">
        <f t="shared" si="8"/>
        <v>0</v>
      </c>
      <c r="K18" s="31">
        <f t="shared" si="8"/>
        <v>0</v>
      </c>
      <c r="L18" s="31">
        <f t="shared" si="8"/>
        <v>0</v>
      </c>
      <c r="M18" s="31">
        <f t="shared" si="8"/>
        <v>0</v>
      </c>
      <c r="N18" s="31">
        <f t="shared" si="8"/>
        <v>0</v>
      </c>
      <c r="O18" s="31">
        <f t="shared" si="8"/>
        <v>0</v>
      </c>
      <c r="P18" s="31">
        <f t="shared" si="8"/>
        <v>0</v>
      </c>
      <c r="Q18" s="31">
        <f t="shared" si="8"/>
        <v>0</v>
      </c>
      <c r="R18" s="31">
        <f t="shared" si="8"/>
        <v>0</v>
      </c>
      <c r="S18" s="31">
        <f t="shared" si="8"/>
        <v>0</v>
      </c>
      <c r="T18" s="31">
        <f t="shared" si="8"/>
        <v>0</v>
      </c>
      <c r="U18" s="31">
        <f t="shared" si="8"/>
        <v>0</v>
      </c>
      <c r="V18" s="31">
        <f t="shared" si="8"/>
        <v>0</v>
      </c>
      <c r="W18" s="31">
        <f t="shared" si="8"/>
        <v>0</v>
      </c>
      <c r="X18" s="53" t="s">
        <v>16</v>
      </c>
      <c r="Y18" s="59"/>
      <c r="Z18" s="79" t="s">
        <v>39</v>
      </c>
      <c r="AA18" s="79"/>
      <c r="AB18" s="59"/>
    </row>
    <row r="19" ht="18.75" customHeight="1" spans="1:28">
      <c r="A19" s="9"/>
      <c r="B19" s="12"/>
      <c r="C19" s="13" t="s">
        <v>40</v>
      </c>
      <c r="D19" s="11">
        <v>2</v>
      </c>
      <c r="E19" s="25">
        <f t="shared" si="1"/>
        <v>2</v>
      </c>
      <c r="F19" s="26">
        <v>1</v>
      </c>
      <c r="G19" s="33">
        <v>1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47"/>
      <c r="T19" s="26"/>
      <c r="U19" s="26"/>
      <c r="V19" s="26"/>
      <c r="W19" s="26"/>
      <c r="X19" s="53" t="s">
        <v>16</v>
      </c>
      <c r="Y19" s="59"/>
      <c r="Z19" s="80" t="s">
        <v>41</v>
      </c>
      <c r="AA19" s="80"/>
      <c r="AB19" s="59"/>
    </row>
    <row r="20" ht="18.75" customHeight="1" spans="1:28">
      <c r="A20" s="14"/>
      <c r="B20" s="15"/>
      <c r="C20" s="16" t="s">
        <v>42</v>
      </c>
      <c r="D20" s="17">
        <v>2</v>
      </c>
      <c r="E20" s="28">
        <f t="shared" si="1"/>
        <v>2</v>
      </c>
      <c r="F20" s="29"/>
      <c r="G20" s="30">
        <v>1</v>
      </c>
      <c r="H20" s="33">
        <v>1</v>
      </c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48"/>
      <c r="T20" s="30"/>
      <c r="U20" s="30"/>
      <c r="V20" s="30"/>
      <c r="W20" s="30"/>
      <c r="X20" s="54" t="s">
        <v>16</v>
      </c>
      <c r="Y20" s="59"/>
      <c r="Z20" s="80"/>
      <c r="AA20" s="80"/>
      <c r="AB20" s="59"/>
    </row>
    <row r="21" ht="18.75" customHeight="1" spans="1:28">
      <c r="A21" s="9"/>
      <c r="B21" s="10" t="s">
        <v>43</v>
      </c>
      <c r="C21" s="10"/>
      <c r="D21" s="11">
        <v>6</v>
      </c>
      <c r="E21" s="25">
        <f t="shared" si="1"/>
        <v>5</v>
      </c>
      <c r="F21" s="31">
        <f t="shared" ref="F21:W21" si="9">SUM(F22)</f>
        <v>0</v>
      </c>
      <c r="G21" s="31">
        <f t="shared" si="9"/>
        <v>0</v>
      </c>
      <c r="H21" s="31">
        <f t="shared" si="9"/>
        <v>1</v>
      </c>
      <c r="I21" s="31">
        <f t="shared" si="9"/>
        <v>1</v>
      </c>
      <c r="J21" s="31">
        <f t="shared" si="9"/>
        <v>1</v>
      </c>
      <c r="K21" s="31">
        <f t="shared" si="9"/>
        <v>1</v>
      </c>
      <c r="L21" s="31">
        <f t="shared" si="9"/>
        <v>1</v>
      </c>
      <c r="M21" s="31">
        <f t="shared" si="9"/>
        <v>0</v>
      </c>
      <c r="N21" s="31">
        <f t="shared" si="9"/>
        <v>0</v>
      </c>
      <c r="O21" s="31">
        <f t="shared" si="9"/>
        <v>0</v>
      </c>
      <c r="P21" s="31">
        <f t="shared" si="9"/>
        <v>0</v>
      </c>
      <c r="Q21" s="31">
        <f t="shared" si="9"/>
        <v>0</v>
      </c>
      <c r="R21" s="31">
        <f t="shared" si="9"/>
        <v>0</v>
      </c>
      <c r="S21" s="31">
        <f t="shared" si="9"/>
        <v>0</v>
      </c>
      <c r="T21" s="31">
        <f t="shared" si="9"/>
        <v>0</v>
      </c>
      <c r="U21" s="31">
        <f t="shared" si="9"/>
        <v>0</v>
      </c>
      <c r="V21" s="31">
        <f t="shared" si="9"/>
        <v>0</v>
      </c>
      <c r="W21" s="31">
        <f t="shared" si="9"/>
        <v>0</v>
      </c>
      <c r="X21" s="53" t="s">
        <v>11</v>
      </c>
      <c r="Y21" s="59"/>
      <c r="Z21" s="81" t="s">
        <v>44</v>
      </c>
      <c r="AA21" s="81"/>
      <c r="AB21" s="59"/>
    </row>
    <row r="22" ht="18.75" customHeight="1" spans="1:28">
      <c r="A22" s="9"/>
      <c r="B22" s="12"/>
      <c r="C22" s="13" t="s">
        <v>45</v>
      </c>
      <c r="D22" s="11">
        <v>6</v>
      </c>
      <c r="E22" s="25">
        <f t="shared" si="1"/>
        <v>5</v>
      </c>
      <c r="F22" s="27"/>
      <c r="G22" s="26"/>
      <c r="H22" s="26">
        <v>1</v>
      </c>
      <c r="I22" s="26">
        <v>1</v>
      </c>
      <c r="J22" s="26">
        <v>1</v>
      </c>
      <c r="K22" s="26">
        <v>1</v>
      </c>
      <c r="L22" s="26">
        <v>1</v>
      </c>
      <c r="M22" s="26"/>
      <c r="N22" s="26"/>
      <c r="O22" s="26"/>
      <c r="P22" s="26"/>
      <c r="Q22" s="26"/>
      <c r="R22" s="26"/>
      <c r="S22" s="47"/>
      <c r="T22" s="26"/>
      <c r="U22" s="26"/>
      <c r="V22" s="26"/>
      <c r="W22" s="26"/>
      <c r="X22" s="53" t="s">
        <v>11</v>
      </c>
      <c r="Y22" s="59"/>
      <c r="Z22" s="81"/>
      <c r="AA22" s="81"/>
      <c r="AB22" s="59"/>
    </row>
    <row r="23" ht="18.75" customHeight="1" spans="1:28">
      <c r="A23" s="9"/>
      <c r="B23" s="10" t="s">
        <v>46</v>
      </c>
      <c r="C23" s="10"/>
      <c r="D23" s="11">
        <f>SUM(D24:D25)</f>
        <v>15</v>
      </c>
      <c r="E23" s="25">
        <f t="shared" si="1"/>
        <v>0</v>
      </c>
      <c r="F23" s="31">
        <f t="shared" ref="F23:K23" si="10">SUM(F24:F25)</f>
        <v>0</v>
      </c>
      <c r="G23" s="34">
        <f t="shared" si="10"/>
        <v>0</v>
      </c>
      <c r="H23" s="34">
        <f t="shared" si="10"/>
        <v>0</v>
      </c>
      <c r="I23" s="34">
        <f t="shared" si="10"/>
        <v>0</v>
      </c>
      <c r="J23" s="34">
        <f t="shared" si="10"/>
        <v>0</v>
      </c>
      <c r="K23" s="34">
        <f t="shared" si="10"/>
        <v>0</v>
      </c>
      <c r="L23" s="34"/>
      <c r="M23" s="34"/>
      <c r="N23" s="34"/>
      <c r="O23" s="34"/>
      <c r="P23" s="26"/>
      <c r="Q23" s="34"/>
      <c r="R23" s="26"/>
      <c r="S23" s="47"/>
      <c r="T23" s="34"/>
      <c r="U23" s="34"/>
      <c r="V23" s="34"/>
      <c r="W23" s="34">
        <f>SUM(W24:W25)</f>
        <v>0</v>
      </c>
      <c r="X23" s="53" t="s">
        <v>11</v>
      </c>
      <c r="Y23" s="59"/>
      <c r="Z23" s="59"/>
      <c r="AA23" s="59"/>
      <c r="AB23" s="59"/>
    </row>
    <row r="24" ht="18.75" customHeight="1" spans="1:28">
      <c r="A24" s="9"/>
      <c r="B24" s="12"/>
      <c r="C24" s="13" t="s">
        <v>33</v>
      </c>
      <c r="D24" s="11">
        <v>5</v>
      </c>
      <c r="E24" s="25">
        <f t="shared" si="1"/>
        <v>0</v>
      </c>
      <c r="F24" s="27"/>
      <c r="G24" s="26"/>
      <c r="H24" s="26"/>
      <c r="I24" s="26"/>
      <c r="J24" s="26"/>
      <c r="K24" s="26"/>
      <c r="L24" s="26"/>
      <c r="M24" s="38"/>
      <c r="N24" s="26"/>
      <c r="O24" s="45"/>
      <c r="P24" s="26"/>
      <c r="Q24" s="26"/>
      <c r="R24" s="26"/>
      <c r="S24" s="47"/>
      <c r="T24" s="26"/>
      <c r="U24" s="26"/>
      <c r="V24" s="26"/>
      <c r="W24" s="26"/>
      <c r="X24" s="53" t="s">
        <v>11</v>
      </c>
      <c r="Y24" s="59"/>
      <c r="Z24" s="59"/>
      <c r="AA24" s="59"/>
      <c r="AB24" s="59"/>
    </row>
    <row r="25" ht="18.75" customHeight="1" spans="1:28">
      <c r="A25" s="14"/>
      <c r="B25" s="15"/>
      <c r="C25" s="16" t="s">
        <v>35</v>
      </c>
      <c r="D25" s="17">
        <v>10</v>
      </c>
      <c r="E25" s="28">
        <f t="shared" si="1"/>
        <v>0</v>
      </c>
      <c r="F25" s="29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48"/>
      <c r="T25" s="30"/>
      <c r="U25" s="38"/>
      <c r="V25" s="30"/>
      <c r="W25" s="30"/>
      <c r="X25" s="54" t="s">
        <v>11</v>
      </c>
      <c r="Y25" s="59"/>
      <c r="Z25" s="59"/>
      <c r="AA25" s="59"/>
      <c r="AB25" s="59"/>
    </row>
    <row r="26" ht="18.75" customHeight="1" spans="1:28">
      <c r="A26" s="9"/>
      <c r="B26" s="10" t="s">
        <v>47</v>
      </c>
      <c r="C26" s="10"/>
      <c r="D26" s="11">
        <f>SUM(D27:D28)</f>
        <v>37</v>
      </c>
      <c r="E26" s="25">
        <f t="shared" si="1"/>
        <v>0</v>
      </c>
      <c r="F26" s="31">
        <f t="shared" ref="F26:K26" si="11">SUM(F27:F28)</f>
        <v>0</v>
      </c>
      <c r="G26" s="34">
        <f t="shared" si="11"/>
        <v>0</v>
      </c>
      <c r="H26" s="34">
        <f t="shared" si="11"/>
        <v>0</v>
      </c>
      <c r="I26" s="34">
        <f t="shared" si="11"/>
        <v>0</v>
      </c>
      <c r="J26" s="34">
        <f t="shared" si="11"/>
        <v>0</v>
      </c>
      <c r="K26" s="34">
        <f t="shared" si="11"/>
        <v>0</v>
      </c>
      <c r="L26" s="34"/>
      <c r="M26" s="34"/>
      <c r="N26" s="34"/>
      <c r="O26" s="34"/>
      <c r="P26" s="26"/>
      <c r="Q26" s="34"/>
      <c r="R26" s="26"/>
      <c r="S26" s="47"/>
      <c r="T26" s="26"/>
      <c r="U26" s="26"/>
      <c r="V26" s="26"/>
      <c r="W26" s="34">
        <f>SUM(W27:W28)</f>
        <v>0</v>
      </c>
      <c r="X26" s="53" t="s">
        <v>11</v>
      </c>
      <c r="Y26" s="59"/>
      <c r="Z26" s="59"/>
      <c r="AA26" s="59"/>
      <c r="AB26" s="59"/>
    </row>
    <row r="27" ht="18.75" customHeight="1" spans="1:28">
      <c r="A27" s="9"/>
      <c r="B27" s="12"/>
      <c r="C27" s="13" t="s">
        <v>48</v>
      </c>
      <c r="D27" s="11">
        <v>15</v>
      </c>
      <c r="E27" s="25">
        <f t="shared" si="1"/>
        <v>0</v>
      </c>
      <c r="F27" s="27"/>
      <c r="G27" s="26"/>
      <c r="H27" s="26"/>
      <c r="I27" s="26"/>
      <c r="J27" s="26"/>
      <c r="K27" s="26"/>
      <c r="L27" s="26"/>
      <c r="M27" s="26"/>
      <c r="N27" s="26"/>
      <c r="O27" s="26"/>
      <c r="P27" s="39"/>
      <c r="Q27" s="26"/>
      <c r="R27" s="39"/>
      <c r="S27" s="47"/>
      <c r="T27" s="40"/>
      <c r="U27" s="26"/>
      <c r="V27" s="26"/>
      <c r="W27" s="26"/>
      <c r="X27" s="53" t="s">
        <v>11</v>
      </c>
      <c r="Y27" s="59"/>
      <c r="Z27" s="59"/>
      <c r="AA27" s="59"/>
      <c r="AB27" s="59"/>
    </row>
    <row r="28" ht="18.75" customHeight="1" spans="1:28">
      <c r="A28" s="14"/>
      <c r="B28" s="15"/>
      <c r="C28" s="16" t="s">
        <v>47</v>
      </c>
      <c r="D28" s="17">
        <v>22</v>
      </c>
      <c r="E28" s="28">
        <f t="shared" si="1"/>
        <v>0</v>
      </c>
      <c r="F28" s="29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48"/>
      <c r="T28" s="30"/>
      <c r="U28" s="30"/>
      <c r="V28" s="38"/>
      <c r="W28" s="30"/>
      <c r="X28" s="54" t="s">
        <v>11</v>
      </c>
      <c r="Y28" s="59"/>
      <c r="Z28" s="59"/>
      <c r="AA28" s="59"/>
      <c r="AB28" s="59"/>
    </row>
    <row r="29" ht="18.75" customHeight="1" spans="1:28">
      <c r="A29" s="18" t="s">
        <v>49</v>
      </c>
      <c r="B29" s="18"/>
      <c r="C29" s="7">
        <f>D29/$D$65</f>
        <v>0.464028776978417</v>
      </c>
      <c r="D29" s="8">
        <f>D30+D40+D47+D52+D62</f>
        <v>129</v>
      </c>
      <c r="E29" s="23">
        <f t="shared" si="1"/>
        <v>43</v>
      </c>
      <c r="F29" s="32">
        <f t="shared" ref="F29:V29" si="12">F30+F40+F47+F52+F62</f>
        <v>0</v>
      </c>
      <c r="G29" s="32">
        <f t="shared" si="12"/>
        <v>2</v>
      </c>
      <c r="H29" s="32">
        <f t="shared" si="12"/>
        <v>3</v>
      </c>
      <c r="I29" s="32">
        <f t="shared" si="12"/>
        <v>7</v>
      </c>
      <c r="J29" s="32">
        <f t="shared" si="12"/>
        <v>8</v>
      </c>
      <c r="K29" s="32">
        <f t="shared" si="12"/>
        <v>15</v>
      </c>
      <c r="L29" s="32">
        <f t="shared" si="12"/>
        <v>8</v>
      </c>
      <c r="M29" s="32">
        <f t="shared" si="12"/>
        <v>0</v>
      </c>
      <c r="N29" s="32">
        <f t="shared" si="12"/>
        <v>0</v>
      </c>
      <c r="O29" s="32">
        <f t="shared" si="12"/>
        <v>0</v>
      </c>
      <c r="P29" s="32">
        <f t="shared" si="12"/>
        <v>0</v>
      </c>
      <c r="Q29" s="32">
        <f t="shared" si="12"/>
        <v>0</v>
      </c>
      <c r="R29" s="32">
        <f t="shared" si="12"/>
        <v>0</v>
      </c>
      <c r="S29" s="32">
        <f t="shared" si="12"/>
        <v>0</v>
      </c>
      <c r="T29" s="32">
        <f t="shared" si="12"/>
        <v>0</v>
      </c>
      <c r="U29" s="32">
        <f t="shared" si="12"/>
        <v>0</v>
      </c>
      <c r="V29" s="32">
        <f t="shared" si="12"/>
        <v>0</v>
      </c>
      <c r="W29" s="56"/>
      <c r="X29" s="57"/>
      <c r="Y29" s="59"/>
      <c r="Z29" s="59"/>
      <c r="AA29" s="59"/>
      <c r="AB29" s="59"/>
    </row>
    <row r="30" ht="18.75" customHeight="1" spans="1:28">
      <c r="A30" s="9"/>
      <c r="B30" s="10" t="s">
        <v>50</v>
      </c>
      <c r="C30" s="10"/>
      <c r="D30" s="11">
        <f>SUM(D31:D39)</f>
        <v>26</v>
      </c>
      <c r="E30" s="25">
        <f t="shared" si="1"/>
        <v>26</v>
      </c>
      <c r="F30" s="31">
        <f t="shared" ref="F30:W30" si="13">SUM(F31:F39)</f>
        <v>0</v>
      </c>
      <c r="G30" s="34">
        <f t="shared" si="13"/>
        <v>0</v>
      </c>
      <c r="H30" s="34">
        <f t="shared" si="13"/>
        <v>1</v>
      </c>
      <c r="I30" s="34">
        <f t="shared" si="13"/>
        <v>2</v>
      </c>
      <c r="J30" s="34">
        <f t="shared" si="13"/>
        <v>4</v>
      </c>
      <c r="K30" s="34">
        <f t="shared" si="13"/>
        <v>13</v>
      </c>
      <c r="L30" s="34">
        <f t="shared" si="13"/>
        <v>6</v>
      </c>
      <c r="M30" s="34">
        <f t="shared" si="13"/>
        <v>0</v>
      </c>
      <c r="N30" s="34">
        <f t="shared" si="13"/>
        <v>0</v>
      </c>
      <c r="O30" s="34">
        <f t="shared" si="13"/>
        <v>0</v>
      </c>
      <c r="P30" s="34">
        <f t="shared" si="13"/>
        <v>0</v>
      </c>
      <c r="Q30" s="34">
        <f t="shared" si="13"/>
        <v>0</v>
      </c>
      <c r="R30" s="34">
        <f t="shared" si="13"/>
        <v>0</v>
      </c>
      <c r="S30" s="34">
        <f t="shared" si="13"/>
        <v>0</v>
      </c>
      <c r="T30" s="34">
        <f t="shared" si="13"/>
        <v>0</v>
      </c>
      <c r="U30" s="34">
        <f t="shared" si="13"/>
        <v>0</v>
      </c>
      <c r="V30" s="34">
        <f t="shared" si="13"/>
        <v>0</v>
      </c>
      <c r="W30" s="34">
        <f t="shared" si="13"/>
        <v>0</v>
      </c>
      <c r="X30" s="53" t="s">
        <v>58</v>
      </c>
      <c r="Y30" s="59" t="s">
        <v>93</v>
      </c>
      <c r="Z30" s="59"/>
      <c r="AA30" s="59"/>
      <c r="AB30" s="59"/>
    </row>
    <row r="31" ht="18.75" customHeight="1" spans="1:28">
      <c r="A31" s="9"/>
      <c r="B31" s="12"/>
      <c r="C31" s="13" t="s">
        <v>51</v>
      </c>
      <c r="D31" s="11">
        <v>1</v>
      </c>
      <c r="E31" s="25">
        <f t="shared" si="1"/>
        <v>4</v>
      </c>
      <c r="F31" s="27"/>
      <c r="G31" s="26"/>
      <c r="H31" s="26">
        <v>1</v>
      </c>
      <c r="I31" s="38">
        <v>1</v>
      </c>
      <c r="J31" s="26">
        <v>2</v>
      </c>
      <c r="K31" s="26"/>
      <c r="L31" s="26"/>
      <c r="M31" s="26"/>
      <c r="N31" s="26"/>
      <c r="O31" s="26"/>
      <c r="P31" s="26"/>
      <c r="Q31" s="26"/>
      <c r="R31" s="26"/>
      <c r="S31" s="47"/>
      <c r="T31" s="26"/>
      <c r="U31" s="26"/>
      <c r="V31" s="26"/>
      <c r="W31" s="26"/>
      <c r="X31" s="58" t="s">
        <v>16</v>
      </c>
      <c r="Y31" s="59"/>
      <c r="Z31" s="59"/>
      <c r="AA31" s="59"/>
      <c r="AB31" s="59"/>
    </row>
    <row r="32" ht="18.75" customHeight="1" spans="1:28">
      <c r="A32" s="9"/>
      <c r="B32" s="12"/>
      <c r="C32" s="13" t="s">
        <v>52</v>
      </c>
      <c r="D32" s="11">
        <v>2</v>
      </c>
      <c r="E32" s="25">
        <f t="shared" si="1"/>
        <v>3</v>
      </c>
      <c r="F32" s="27"/>
      <c r="G32" s="26"/>
      <c r="H32" s="26"/>
      <c r="I32" s="39">
        <v>1</v>
      </c>
      <c r="J32" s="26">
        <v>2</v>
      </c>
      <c r="K32" s="40"/>
      <c r="L32" s="26"/>
      <c r="M32" s="26"/>
      <c r="N32" s="26"/>
      <c r="O32" s="26"/>
      <c r="P32" s="26"/>
      <c r="Q32" s="26"/>
      <c r="R32" s="26"/>
      <c r="S32" s="47"/>
      <c r="T32" s="26"/>
      <c r="U32" s="26"/>
      <c r="V32" s="26"/>
      <c r="W32" s="26"/>
      <c r="X32" s="58" t="s">
        <v>16</v>
      </c>
      <c r="Y32" s="59"/>
      <c r="Z32" s="59"/>
      <c r="AA32" s="59"/>
      <c r="AB32" s="59"/>
    </row>
    <row r="33" ht="18.75" customHeight="1" spans="1:28">
      <c r="A33" s="9"/>
      <c r="B33" s="12"/>
      <c r="C33" s="13" t="s">
        <v>53</v>
      </c>
      <c r="D33" s="11">
        <v>4</v>
      </c>
      <c r="E33" s="25">
        <f t="shared" si="1"/>
        <v>2</v>
      </c>
      <c r="F33" s="27"/>
      <c r="G33" s="26"/>
      <c r="H33" s="26"/>
      <c r="I33" s="39"/>
      <c r="J33" s="26"/>
      <c r="K33" s="40">
        <v>2</v>
      </c>
      <c r="L33" s="26"/>
      <c r="M33" s="26"/>
      <c r="N33" s="26"/>
      <c r="O33" s="26"/>
      <c r="P33" s="26"/>
      <c r="Q33" s="26"/>
      <c r="R33" s="26"/>
      <c r="S33" s="47"/>
      <c r="T33" s="26"/>
      <c r="U33" s="26"/>
      <c r="V33" s="26"/>
      <c r="W33" s="26"/>
      <c r="X33" s="58" t="s">
        <v>16</v>
      </c>
      <c r="Y33" s="59"/>
      <c r="Z33" s="59"/>
      <c r="AA33" s="59"/>
      <c r="AB33" s="59"/>
    </row>
    <row r="34" ht="18.75" customHeight="1" spans="1:28">
      <c r="A34" s="9"/>
      <c r="B34" s="12"/>
      <c r="C34" s="13" t="s">
        <v>54</v>
      </c>
      <c r="D34" s="11">
        <v>4</v>
      </c>
      <c r="E34" s="25">
        <f t="shared" si="1"/>
        <v>4</v>
      </c>
      <c r="F34" s="27"/>
      <c r="G34" s="26"/>
      <c r="H34" s="26"/>
      <c r="I34" s="39"/>
      <c r="J34" s="26"/>
      <c r="K34" s="40">
        <v>4</v>
      </c>
      <c r="L34" s="26"/>
      <c r="M34" s="26"/>
      <c r="N34" s="26"/>
      <c r="O34" s="26"/>
      <c r="P34" s="26"/>
      <c r="Q34" s="26"/>
      <c r="R34" s="26"/>
      <c r="S34" s="47"/>
      <c r="T34" s="26"/>
      <c r="U34" s="26"/>
      <c r="V34" s="26"/>
      <c r="W34" s="26"/>
      <c r="X34" s="58" t="s">
        <v>16</v>
      </c>
      <c r="Y34" s="59"/>
      <c r="Z34" s="59"/>
      <c r="AA34" s="59"/>
      <c r="AB34" s="59"/>
    </row>
    <row r="35" ht="18.75" customHeight="1" spans="1:28">
      <c r="A35" s="9"/>
      <c r="B35" s="12"/>
      <c r="C35" s="13" t="s">
        <v>55</v>
      </c>
      <c r="D35" s="11">
        <v>4</v>
      </c>
      <c r="E35" s="25">
        <f t="shared" si="1"/>
        <v>4</v>
      </c>
      <c r="F35" s="27"/>
      <c r="G35" s="26"/>
      <c r="H35" s="26"/>
      <c r="I35" s="39"/>
      <c r="J35" s="26"/>
      <c r="K35" s="40">
        <v>4</v>
      </c>
      <c r="L35" s="26"/>
      <c r="M35" s="26"/>
      <c r="N35" s="26"/>
      <c r="O35" s="26"/>
      <c r="P35" s="26"/>
      <c r="Q35" s="26"/>
      <c r="R35" s="26"/>
      <c r="S35" s="47"/>
      <c r="T35" s="26"/>
      <c r="U35" s="26"/>
      <c r="V35" s="26"/>
      <c r="W35" s="26"/>
      <c r="X35" s="58" t="s">
        <v>16</v>
      </c>
      <c r="Y35" s="59"/>
      <c r="Z35" s="59"/>
      <c r="AA35" s="59"/>
      <c r="AB35" s="59"/>
    </row>
    <row r="36" ht="18.75" customHeight="1" spans="1:28">
      <c r="A36" s="9"/>
      <c r="B36" s="12"/>
      <c r="C36" s="13" t="s">
        <v>56</v>
      </c>
      <c r="D36" s="11">
        <v>4</v>
      </c>
      <c r="E36" s="25">
        <f t="shared" si="1"/>
        <v>2</v>
      </c>
      <c r="F36" s="27"/>
      <c r="G36" s="26"/>
      <c r="H36" s="26"/>
      <c r="I36" s="39"/>
      <c r="J36" s="26"/>
      <c r="K36" s="40">
        <v>2</v>
      </c>
      <c r="L36" s="26"/>
      <c r="M36" s="26"/>
      <c r="N36" s="26"/>
      <c r="O36" s="26"/>
      <c r="P36" s="26"/>
      <c r="Q36" s="26"/>
      <c r="R36" s="26"/>
      <c r="S36" s="47"/>
      <c r="T36" s="26"/>
      <c r="U36" s="26"/>
      <c r="V36" s="26"/>
      <c r="W36" s="26"/>
      <c r="X36" s="58" t="s">
        <v>16</v>
      </c>
      <c r="Y36" s="59"/>
      <c r="Z36" s="59"/>
      <c r="AA36" s="59"/>
      <c r="AB36" s="59"/>
    </row>
    <row r="37" ht="18.75" customHeight="1" spans="1:28">
      <c r="A37" s="9"/>
      <c r="B37" s="12"/>
      <c r="C37" s="13" t="s">
        <v>57</v>
      </c>
      <c r="D37" s="11">
        <v>2</v>
      </c>
      <c r="E37" s="25">
        <f t="shared" si="1"/>
        <v>2</v>
      </c>
      <c r="F37" s="27"/>
      <c r="G37" s="26"/>
      <c r="H37" s="26"/>
      <c r="I37" s="39"/>
      <c r="J37" s="26"/>
      <c r="K37" s="40">
        <v>1</v>
      </c>
      <c r="L37" s="26">
        <v>1</v>
      </c>
      <c r="M37" s="26"/>
      <c r="N37" s="26"/>
      <c r="O37" s="26"/>
      <c r="P37" s="26"/>
      <c r="Q37" s="26"/>
      <c r="R37" s="26"/>
      <c r="S37" s="47"/>
      <c r="T37" s="26"/>
      <c r="U37" s="26"/>
      <c r="V37" s="26"/>
      <c r="W37" s="26"/>
      <c r="X37" s="58" t="s">
        <v>58</v>
      </c>
      <c r="Y37" s="59"/>
      <c r="Z37" s="59"/>
      <c r="AA37" s="59"/>
      <c r="AB37" s="59"/>
    </row>
    <row r="38" ht="18.75" customHeight="1" spans="1:28">
      <c r="A38" s="9"/>
      <c r="B38" s="12"/>
      <c r="C38" s="13" t="s">
        <v>59</v>
      </c>
      <c r="D38" s="11">
        <v>3</v>
      </c>
      <c r="E38" s="25">
        <f t="shared" si="1"/>
        <v>3</v>
      </c>
      <c r="F38" s="27"/>
      <c r="G38" s="26"/>
      <c r="H38" s="26"/>
      <c r="I38" s="39"/>
      <c r="J38" s="26"/>
      <c r="K38" s="26"/>
      <c r="L38" s="40">
        <v>3</v>
      </c>
      <c r="M38" s="26"/>
      <c r="N38" s="26"/>
      <c r="O38" s="26"/>
      <c r="P38" s="26"/>
      <c r="Q38" s="26"/>
      <c r="R38" s="26"/>
      <c r="S38" s="47"/>
      <c r="T38" s="26"/>
      <c r="U38" s="26"/>
      <c r="V38" s="26"/>
      <c r="W38" s="26"/>
      <c r="X38" s="58" t="s">
        <v>16</v>
      </c>
      <c r="Y38" s="59"/>
      <c r="Z38" s="59"/>
      <c r="AA38" s="59"/>
      <c r="AB38" s="59"/>
    </row>
    <row r="39" ht="18.75" customHeight="1" spans="1:28">
      <c r="A39" s="9"/>
      <c r="B39" s="12"/>
      <c r="C39" s="13" t="s">
        <v>60</v>
      </c>
      <c r="D39" s="11">
        <v>2</v>
      </c>
      <c r="E39" s="25">
        <f t="shared" si="1"/>
        <v>2</v>
      </c>
      <c r="F39" s="27"/>
      <c r="G39" s="26"/>
      <c r="H39" s="26"/>
      <c r="I39" s="39"/>
      <c r="J39" s="26"/>
      <c r="K39" s="26"/>
      <c r="L39" s="40">
        <v>2</v>
      </c>
      <c r="M39" s="26"/>
      <c r="N39" s="26"/>
      <c r="O39" s="26"/>
      <c r="P39" s="26"/>
      <c r="Q39" s="26"/>
      <c r="R39" s="26"/>
      <c r="S39" s="47"/>
      <c r="T39" s="26"/>
      <c r="U39" s="26"/>
      <c r="V39" s="26"/>
      <c r="W39" s="26"/>
      <c r="X39" s="58" t="s">
        <v>16</v>
      </c>
      <c r="Y39" s="59"/>
      <c r="Z39" s="59"/>
      <c r="AA39" s="59"/>
      <c r="AB39" s="59"/>
    </row>
    <row r="40" ht="18.75" customHeight="1" spans="1:28">
      <c r="A40" s="9"/>
      <c r="B40" s="10" t="s">
        <v>61</v>
      </c>
      <c r="C40" s="10"/>
      <c r="D40" s="11">
        <f>SUM(D41:D46)</f>
        <v>15</v>
      </c>
      <c r="E40" s="25">
        <f t="shared" si="1"/>
        <v>2</v>
      </c>
      <c r="F40" s="31">
        <f t="shared" ref="F40:W40" si="14">SUM(F41:F46)</f>
        <v>0</v>
      </c>
      <c r="G40" s="34">
        <f t="shared" si="14"/>
        <v>0</v>
      </c>
      <c r="H40" s="34">
        <f t="shared" si="14"/>
        <v>0</v>
      </c>
      <c r="I40" s="34">
        <f t="shared" si="14"/>
        <v>0</v>
      </c>
      <c r="J40" s="34">
        <f t="shared" si="14"/>
        <v>0</v>
      </c>
      <c r="K40" s="34">
        <f t="shared" si="14"/>
        <v>0</v>
      </c>
      <c r="L40" s="34">
        <f t="shared" si="14"/>
        <v>2</v>
      </c>
      <c r="M40" s="34">
        <f t="shared" si="14"/>
        <v>0</v>
      </c>
      <c r="N40" s="34">
        <f t="shared" si="14"/>
        <v>0</v>
      </c>
      <c r="O40" s="34">
        <f t="shared" si="14"/>
        <v>0</v>
      </c>
      <c r="P40" s="34">
        <f t="shared" si="14"/>
        <v>0</v>
      </c>
      <c r="Q40" s="34">
        <f t="shared" si="14"/>
        <v>0</v>
      </c>
      <c r="R40" s="34">
        <f t="shared" si="14"/>
        <v>0</v>
      </c>
      <c r="S40" s="34">
        <f t="shared" si="14"/>
        <v>0</v>
      </c>
      <c r="T40" s="34">
        <f t="shared" si="14"/>
        <v>0</v>
      </c>
      <c r="U40" s="34">
        <f t="shared" si="14"/>
        <v>0</v>
      </c>
      <c r="V40" s="34">
        <f t="shared" si="14"/>
        <v>0</v>
      </c>
      <c r="W40" s="34">
        <f t="shared" si="14"/>
        <v>0</v>
      </c>
      <c r="X40" s="53" t="s">
        <v>94</v>
      </c>
      <c r="Y40" s="59"/>
      <c r="Z40" s="59"/>
      <c r="AA40" s="59"/>
      <c r="AB40" s="59"/>
    </row>
    <row r="41" ht="18.75" customHeight="1" spans="1:28">
      <c r="A41" s="9"/>
      <c r="B41" s="12"/>
      <c r="C41" s="13" t="s">
        <v>62</v>
      </c>
      <c r="D41" s="11">
        <v>1</v>
      </c>
      <c r="E41" s="25">
        <f t="shared" si="1"/>
        <v>2</v>
      </c>
      <c r="F41" s="27"/>
      <c r="G41" s="26"/>
      <c r="H41" s="26"/>
      <c r="I41" s="39"/>
      <c r="J41" s="26"/>
      <c r="K41" s="26"/>
      <c r="L41" s="40">
        <v>2</v>
      </c>
      <c r="M41" s="26"/>
      <c r="N41" s="26"/>
      <c r="O41" s="26"/>
      <c r="P41" s="26"/>
      <c r="Q41" s="26"/>
      <c r="R41" s="26"/>
      <c r="S41" s="47"/>
      <c r="T41" s="26"/>
      <c r="U41" s="26"/>
      <c r="V41" s="26"/>
      <c r="W41" s="26"/>
      <c r="X41" s="58" t="s">
        <v>94</v>
      </c>
      <c r="Y41" s="59" t="s">
        <v>95</v>
      </c>
      <c r="Z41" s="59"/>
      <c r="AA41" s="59"/>
      <c r="AB41" s="59"/>
    </row>
    <row r="42" ht="18.75" customHeight="1" spans="1:28">
      <c r="A42" s="9"/>
      <c r="B42" s="12"/>
      <c r="C42" s="13" t="s">
        <v>63</v>
      </c>
      <c r="D42" s="11">
        <v>2</v>
      </c>
      <c r="E42" s="25">
        <f t="shared" si="1"/>
        <v>0</v>
      </c>
      <c r="F42" s="27"/>
      <c r="G42" s="26"/>
      <c r="H42" s="26"/>
      <c r="I42" s="39"/>
      <c r="J42" s="26"/>
      <c r="K42" s="26"/>
      <c r="L42" s="26"/>
      <c r="M42" s="40"/>
      <c r="N42" s="26"/>
      <c r="O42" s="26"/>
      <c r="P42" s="26"/>
      <c r="Q42" s="26"/>
      <c r="R42" s="26"/>
      <c r="S42" s="47"/>
      <c r="T42" s="26"/>
      <c r="U42" s="26"/>
      <c r="V42" s="26"/>
      <c r="W42" s="26"/>
      <c r="X42" s="58" t="s">
        <v>11</v>
      </c>
      <c r="Y42" s="59"/>
      <c r="Z42" s="59"/>
      <c r="AA42" s="59"/>
      <c r="AB42" s="59"/>
    </row>
    <row r="43" ht="18.75" customHeight="1" spans="1:28">
      <c r="A43" s="9"/>
      <c r="B43" s="12"/>
      <c r="C43" s="13" t="s">
        <v>64</v>
      </c>
      <c r="D43" s="11">
        <v>5</v>
      </c>
      <c r="E43" s="25">
        <f t="shared" si="1"/>
        <v>0</v>
      </c>
      <c r="F43" s="27"/>
      <c r="G43" s="26"/>
      <c r="H43" s="26"/>
      <c r="I43" s="39"/>
      <c r="J43" s="26"/>
      <c r="K43" s="26"/>
      <c r="L43" s="26"/>
      <c r="M43" s="40"/>
      <c r="N43" s="26"/>
      <c r="O43" s="26"/>
      <c r="P43" s="26"/>
      <c r="Q43" s="26"/>
      <c r="R43" s="26"/>
      <c r="S43" s="47"/>
      <c r="T43" s="26"/>
      <c r="U43" s="26"/>
      <c r="V43" s="26"/>
      <c r="W43" s="26"/>
      <c r="X43" s="58"/>
      <c r="Y43" s="59"/>
      <c r="Z43" s="59"/>
      <c r="AA43" s="59"/>
      <c r="AB43" s="59"/>
    </row>
    <row r="44" ht="18.75" customHeight="1" spans="1:28">
      <c r="A44" s="9"/>
      <c r="B44" s="12"/>
      <c r="C44" s="13" t="s">
        <v>65</v>
      </c>
      <c r="D44" s="11">
        <v>2</v>
      </c>
      <c r="E44" s="25">
        <f t="shared" si="1"/>
        <v>0</v>
      </c>
      <c r="F44" s="27"/>
      <c r="G44" s="26"/>
      <c r="H44" s="26"/>
      <c r="I44" s="39"/>
      <c r="J44" s="26"/>
      <c r="K44" s="26"/>
      <c r="L44" s="26"/>
      <c r="M44" s="26"/>
      <c r="N44" s="40"/>
      <c r="O44" s="26"/>
      <c r="P44" s="26"/>
      <c r="Q44" s="26"/>
      <c r="R44" s="26"/>
      <c r="S44" s="47"/>
      <c r="T44" s="26"/>
      <c r="U44" s="26"/>
      <c r="V44" s="26"/>
      <c r="W44" s="26"/>
      <c r="X44" s="58" t="s">
        <v>11</v>
      </c>
      <c r="Y44" s="59"/>
      <c r="Z44" s="59"/>
      <c r="AA44" s="59"/>
      <c r="AB44" s="59"/>
    </row>
    <row r="45" ht="18.75" customHeight="1" spans="1:28">
      <c r="A45" s="9"/>
      <c r="B45" s="12"/>
      <c r="C45" s="13" t="s">
        <v>66</v>
      </c>
      <c r="D45" s="11">
        <v>3</v>
      </c>
      <c r="E45" s="25">
        <f t="shared" si="1"/>
        <v>0</v>
      </c>
      <c r="F45" s="27"/>
      <c r="G45" s="26"/>
      <c r="H45" s="26"/>
      <c r="I45" s="39"/>
      <c r="J45" s="26"/>
      <c r="K45" s="26"/>
      <c r="L45" s="26"/>
      <c r="M45" s="26"/>
      <c r="N45" s="40"/>
      <c r="O45" s="26"/>
      <c r="P45" s="26"/>
      <c r="Q45" s="26"/>
      <c r="R45" s="26"/>
      <c r="S45" s="47"/>
      <c r="T45" s="26"/>
      <c r="U45" s="26"/>
      <c r="V45" s="26"/>
      <c r="W45" s="26"/>
      <c r="X45" s="58" t="s">
        <v>11</v>
      </c>
      <c r="Y45" s="59"/>
      <c r="Z45" s="59"/>
      <c r="AA45" s="59"/>
      <c r="AB45" s="59"/>
    </row>
    <row r="46" ht="18.75" customHeight="1" spans="1:28">
      <c r="A46" s="14"/>
      <c r="B46" s="15"/>
      <c r="C46" s="16" t="s">
        <v>67</v>
      </c>
      <c r="D46" s="17">
        <v>2</v>
      </c>
      <c r="E46" s="28">
        <f t="shared" si="1"/>
        <v>0</v>
      </c>
      <c r="F46" s="29"/>
      <c r="G46" s="30"/>
      <c r="H46" s="30"/>
      <c r="I46" s="30"/>
      <c r="J46" s="30"/>
      <c r="K46" s="41"/>
      <c r="L46" s="30"/>
      <c r="M46" s="30"/>
      <c r="N46" s="46"/>
      <c r="O46" s="30"/>
      <c r="P46" s="30"/>
      <c r="Q46" s="30"/>
      <c r="R46" s="30"/>
      <c r="S46" s="48"/>
      <c r="T46" s="30"/>
      <c r="U46" s="30"/>
      <c r="V46" s="30"/>
      <c r="W46" s="30"/>
      <c r="X46" s="54" t="s">
        <v>11</v>
      </c>
      <c r="Y46" s="59"/>
      <c r="Z46" s="59"/>
      <c r="AA46" s="59"/>
      <c r="AB46" s="59"/>
    </row>
    <row r="47" ht="18.75" customHeight="1" spans="1:28">
      <c r="A47" s="9"/>
      <c r="B47" s="10" t="s">
        <v>68</v>
      </c>
      <c r="C47" s="10"/>
      <c r="D47" s="11">
        <f>SUM(D48:D51)</f>
        <v>31</v>
      </c>
      <c r="E47" s="25">
        <f t="shared" si="1"/>
        <v>7</v>
      </c>
      <c r="F47" s="31">
        <f t="shared" ref="F47:W47" si="15">SUM(F48:F51)</f>
        <v>0</v>
      </c>
      <c r="G47" s="34">
        <f t="shared" si="15"/>
        <v>2</v>
      </c>
      <c r="H47" s="34">
        <f t="shared" si="15"/>
        <v>2</v>
      </c>
      <c r="I47" s="34">
        <f t="shared" si="15"/>
        <v>1</v>
      </c>
      <c r="J47" s="34">
        <f t="shared" si="15"/>
        <v>0</v>
      </c>
      <c r="K47" s="34">
        <f t="shared" si="15"/>
        <v>2</v>
      </c>
      <c r="L47" s="34">
        <f t="shared" si="15"/>
        <v>0</v>
      </c>
      <c r="M47" s="34">
        <f t="shared" si="15"/>
        <v>0</v>
      </c>
      <c r="N47" s="34">
        <f t="shared" si="15"/>
        <v>0</v>
      </c>
      <c r="O47" s="34">
        <f t="shared" si="15"/>
        <v>0</v>
      </c>
      <c r="P47" s="34">
        <f t="shared" si="15"/>
        <v>0</v>
      </c>
      <c r="Q47" s="34">
        <f t="shared" si="15"/>
        <v>0</v>
      </c>
      <c r="R47" s="34">
        <f t="shared" si="15"/>
        <v>0</v>
      </c>
      <c r="S47" s="34">
        <f t="shared" si="15"/>
        <v>0</v>
      </c>
      <c r="T47" s="34">
        <f t="shared" si="15"/>
        <v>0</v>
      </c>
      <c r="U47" s="34">
        <f t="shared" si="15"/>
        <v>0</v>
      </c>
      <c r="V47" s="34">
        <f t="shared" si="15"/>
        <v>0</v>
      </c>
      <c r="W47" s="34">
        <f t="shared" si="15"/>
        <v>0</v>
      </c>
      <c r="X47" s="53" t="s">
        <v>11</v>
      </c>
      <c r="Y47" s="59" t="s">
        <v>92</v>
      </c>
      <c r="Z47" s="59"/>
      <c r="AA47" s="59"/>
      <c r="AB47" s="59"/>
    </row>
    <row r="48" ht="18.75" customHeight="1" spans="1:28">
      <c r="A48" s="9"/>
      <c r="B48" s="12"/>
      <c r="C48" s="89" t="s">
        <v>69</v>
      </c>
      <c r="D48" s="11">
        <v>8</v>
      </c>
      <c r="E48" s="25">
        <f t="shared" si="1"/>
        <v>1</v>
      </c>
      <c r="F48" s="27"/>
      <c r="G48" s="26"/>
      <c r="H48" s="26"/>
      <c r="I48" s="26">
        <v>1</v>
      </c>
      <c r="J48" s="26"/>
      <c r="K48" s="26"/>
      <c r="L48" s="26"/>
      <c r="M48" s="38"/>
      <c r="N48" s="26"/>
      <c r="O48" s="26"/>
      <c r="P48" s="26"/>
      <c r="Q48" s="26"/>
      <c r="R48" s="26"/>
      <c r="S48" s="47"/>
      <c r="T48" s="26"/>
      <c r="U48" s="26"/>
      <c r="V48" s="26"/>
      <c r="W48" s="26"/>
      <c r="X48" s="53" t="s">
        <v>15</v>
      </c>
      <c r="Y48" s="59" t="s">
        <v>89</v>
      </c>
      <c r="Z48" s="59"/>
      <c r="AA48" s="59"/>
      <c r="AB48" s="59"/>
    </row>
    <row r="49" ht="18.75" customHeight="1" spans="1:28">
      <c r="A49" s="9"/>
      <c r="B49" s="12"/>
      <c r="C49" s="89" t="s">
        <v>70</v>
      </c>
      <c r="D49" s="11">
        <v>5</v>
      </c>
      <c r="E49" s="25">
        <f t="shared" si="1"/>
        <v>0</v>
      </c>
      <c r="F49" s="27"/>
      <c r="G49" s="26"/>
      <c r="H49" s="26"/>
      <c r="I49" s="26"/>
      <c r="J49" s="26"/>
      <c r="K49" s="26"/>
      <c r="L49" s="26"/>
      <c r="M49" s="38"/>
      <c r="N49" s="26"/>
      <c r="O49" s="26"/>
      <c r="P49" s="26"/>
      <c r="Q49" s="26"/>
      <c r="R49" s="26"/>
      <c r="S49" s="47"/>
      <c r="T49" s="26"/>
      <c r="U49" s="26"/>
      <c r="V49" s="26"/>
      <c r="W49" s="26"/>
      <c r="X49" s="53" t="s">
        <v>11</v>
      </c>
      <c r="Y49" s="59" t="s">
        <v>89</v>
      </c>
      <c r="Z49" s="59"/>
      <c r="AA49" s="59"/>
      <c r="AB49" s="59"/>
    </row>
    <row r="50" ht="18.75" customHeight="1" spans="1:28">
      <c r="A50" s="9"/>
      <c r="B50" s="12"/>
      <c r="C50" s="13" t="s">
        <v>90</v>
      </c>
      <c r="D50" s="11">
        <v>8</v>
      </c>
      <c r="E50" s="25">
        <f t="shared" si="1"/>
        <v>0</v>
      </c>
      <c r="F50" s="27"/>
      <c r="G50" s="26"/>
      <c r="H50" s="26"/>
      <c r="I50" s="26"/>
      <c r="J50" s="26"/>
      <c r="K50" s="26"/>
      <c r="L50" s="26"/>
      <c r="M50" s="39"/>
      <c r="N50" s="40"/>
      <c r="O50" s="26"/>
      <c r="P50" s="26"/>
      <c r="Q50" s="26"/>
      <c r="R50" s="26"/>
      <c r="S50" s="47"/>
      <c r="T50" s="26"/>
      <c r="U50" s="26"/>
      <c r="V50" s="26"/>
      <c r="W50" s="26"/>
      <c r="X50" s="53" t="s">
        <v>11</v>
      </c>
      <c r="Y50" s="59" t="s">
        <v>91</v>
      </c>
      <c r="Z50" s="59"/>
      <c r="AA50" s="59"/>
      <c r="AB50" s="59"/>
    </row>
    <row r="51" ht="18.75" customHeight="1" spans="1:28">
      <c r="A51" s="14"/>
      <c r="B51" s="15"/>
      <c r="C51" s="90" t="s">
        <v>72</v>
      </c>
      <c r="D51" s="17">
        <v>10</v>
      </c>
      <c r="E51" s="28">
        <f t="shared" si="1"/>
        <v>6</v>
      </c>
      <c r="F51" s="29"/>
      <c r="G51" s="30">
        <v>2</v>
      </c>
      <c r="H51" s="30">
        <v>2</v>
      </c>
      <c r="I51" s="30"/>
      <c r="J51" s="30"/>
      <c r="K51" s="30">
        <v>2</v>
      </c>
      <c r="L51" s="30"/>
      <c r="M51" s="30"/>
      <c r="N51" s="41"/>
      <c r="O51" s="46"/>
      <c r="P51" s="30"/>
      <c r="Q51" s="30"/>
      <c r="R51" s="30"/>
      <c r="S51" s="48"/>
      <c r="T51" s="30"/>
      <c r="U51" s="30"/>
      <c r="V51" s="30"/>
      <c r="W51" s="30"/>
      <c r="X51" s="54" t="s">
        <v>15</v>
      </c>
      <c r="Y51" s="59" t="s">
        <v>89</v>
      </c>
      <c r="Z51" s="59"/>
      <c r="AA51" s="59"/>
      <c r="AB51" s="59"/>
    </row>
    <row r="52" ht="18.75" customHeight="1" spans="1:28">
      <c r="A52" s="9"/>
      <c r="B52" s="10" t="s">
        <v>73</v>
      </c>
      <c r="C52" s="10"/>
      <c r="D52" s="11">
        <f>SUM(D53:D61)</f>
        <v>37</v>
      </c>
      <c r="E52" s="25">
        <f t="shared" si="1"/>
        <v>0</v>
      </c>
      <c r="F52" s="31">
        <f t="shared" ref="F52:W52" si="16">SUM(F53:F61)</f>
        <v>0</v>
      </c>
      <c r="G52" s="34">
        <f t="shared" si="16"/>
        <v>0</v>
      </c>
      <c r="H52" s="34">
        <f t="shared" si="16"/>
        <v>0</v>
      </c>
      <c r="I52" s="34">
        <f t="shared" si="16"/>
        <v>0</v>
      </c>
      <c r="J52" s="34">
        <f t="shared" si="16"/>
        <v>0</v>
      </c>
      <c r="K52" s="34">
        <f t="shared" si="16"/>
        <v>0</v>
      </c>
      <c r="L52" s="34">
        <f t="shared" si="16"/>
        <v>0</v>
      </c>
      <c r="M52" s="34">
        <f t="shared" si="16"/>
        <v>0</v>
      </c>
      <c r="N52" s="34">
        <f t="shared" si="16"/>
        <v>0</v>
      </c>
      <c r="O52" s="34">
        <f t="shared" si="16"/>
        <v>0</v>
      </c>
      <c r="P52" s="26">
        <f t="shared" si="16"/>
        <v>0</v>
      </c>
      <c r="Q52" s="34">
        <f t="shared" si="16"/>
        <v>0</v>
      </c>
      <c r="R52" s="26">
        <f t="shared" si="16"/>
        <v>0</v>
      </c>
      <c r="S52" s="47">
        <f t="shared" si="16"/>
        <v>0</v>
      </c>
      <c r="T52" s="26">
        <f t="shared" si="16"/>
        <v>0</v>
      </c>
      <c r="U52" s="26">
        <f t="shared" si="16"/>
        <v>0</v>
      </c>
      <c r="V52" s="26">
        <f t="shared" si="16"/>
        <v>0</v>
      </c>
      <c r="W52" s="34">
        <f t="shared" si="16"/>
        <v>0</v>
      </c>
      <c r="X52" s="53" t="s">
        <v>11</v>
      </c>
      <c r="Y52" s="59"/>
      <c r="Z52" s="59"/>
      <c r="AA52" s="59"/>
      <c r="AB52" s="59"/>
    </row>
    <row r="53" ht="18.75" customHeight="1" spans="1:28">
      <c r="A53" s="9"/>
      <c r="B53" s="12"/>
      <c r="C53" s="13" t="s">
        <v>74</v>
      </c>
      <c r="D53" s="11">
        <v>2</v>
      </c>
      <c r="E53" s="25">
        <f t="shared" si="1"/>
        <v>0</v>
      </c>
      <c r="F53" s="27"/>
      <c r="G53" s="26"/>
      <c r="H53" s="26"/>
      <c r="I53" s="26"/>
      <c r="J53" s="26"/>
      <c r="K53" s="26"/>
      <c r="L53" s="26"/>
      <c r="M53" s="26"/>
      <c r="N53" s="26"/>
      <c r="O53" s="40"/>
      <c r="P53" s="26"/>
      <c r="Q53" s="26"/>
      <c r="R53" s="26"/>
      <c r="S53" s="47"/>
      <c r="T53" s="26"/>
      <c r="U53" s="26"/>
      <c r="V53" s="26"/>
      <c r="W53" s="26"/>
      <c r="X53" s="53" t="s">
        <v>11</v>
      </c>
      <c r="Y53" s="59"/>
      <c r="Z53" s="59"/>
      <c r="AA53" s="59"/>
      <c r="AB53" s="59"/>
    </row>
    <row r="54" ht="18.75" customHeight="1" spans="1:28">
      <c r="A54" s="9"/>
      <c r="B54" s="12"/>
      <c r="C54" s="13" t="s">
        <v>75</v>
      </c>
      <c r="D54" s="11">
        <v>5</v>
      </c>
      <c r="E54" s="25">
        <f t="shared" si="1"/>
        <v>0</v>
      </c>
      <c r="F54" s="27"/>
      <c r="G54" s="26"/>
      <c r="H54" s="26"/>
      <c r="I54" s="26"/>
      <c r="J54" s="26"/>
      <c r="K54" s="26"/>
      <c r="L54" s="26"/>
      <c r="M54" s="26"/>
      <c r="N54" s="26"/>
      <c r="O54" s="26"/>
      <c r="P54" s="40"/>
      <c r="Q54" s="26"/>
      <c r="R54" s="26"/>
      <c r="S54" s="47"/>
      <c r="T54" s="26"/>
      <c r="U54" s="26"/>
      <c r="V54" s="26"/>
      <c r="W54" s="26"/>
      <c r="X54" s="53" t="s">
        <v>11</v>
      </c>
      <c r="Y54" s="59"/>
      <c r="Z54" s="59"/>
      <c r="AA54" s="59"/>
      <c r="AB54" s="59"/>
    </row>
    <row r="55" ht="18.75" customHeight="1" spans="1:28">
      <c r="A55" s="9"/>
      <c r="B55" s="12"/>
      <c r="C55" s="13" t="s">
        <v>76</v>
      </c>
      <c r="D55" s="11">
        <v>5</v>
      </c>
      <c r="E55" s="25">
        <f t="shared" si="1"/>
        <v>0</v>
      </c>
      <c r="F55" s="27"/>
      <c r="G55" s="26"/>
      <c r="H55" s="26"/>
      <c r="I55" s="26"/>
      <c r="J55" s="26"/>
      <c r="K55" s="26"/>
      <c r="L55" s="26"/>
      <c r="M55" s="26"/>
      <c r="N55" s="26"/>
      <c r="O55" s="26"/>
      <c r="P55" s="40"/>
      <c r="Q55" s="26"/>
      <c r="R55" s="26"/>
      <c r="S55" s="47"/>
      <c r="T55" s="26"/>
      <c r="U55" s="26"/>
      <c r="V55" s="26"/>
      <c r="W55" s="26"/>
      <c r="X55" s="53" t="s">
        <v>11</v>
      </c>
      <c r="Y55" s="59"/>
      <c r="Z55" s="59"/>
      <c r="AA55" s="59"/>
      <c r="AB55" s="59"/>
    </row>
    <row r="56" ht="18.75" customHeight="1" spans="1:28">
      <c r="A56" s="9"/>
      <c r="B56" s="12"/>
      <c r="C56" s="13" t="s">
        <v>77</v>
      </c>
      <c r="D56" s="11">
        <v>5</v>
      </c>
      <c r="E56" s="25">
        <f t="shared" si="1"/>
        <v>0</v>
      </c>
      <c r="F56" s="27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40"/>
      <c r="R56" s="26"/>
      <c r="S56" s="47"/>
      <c r="T56" s="26"/>
      <c r="U56" s="26"/>
      <c r="V56" s="26"/>
      <c r="W56" s="26"/>
      <c r="X56" s="53" t="s">
        <v>11</v>
      </c>
      <c r="Y56" s="59"/>
      <c r="Z56" s="59"/>
      <c r="AA56" s="59"/>
      <c r="AB56" s="59"/>
    </row>
    <row r="57" ht="18.75" customHeight="1" spans="1:28">
      <c r="A57" s="9"/>
      <c r="B57" s="12"/>
      <c r="C57" s="13" t="s">
        <v>78</v>
      </c>
      <c r="D57" s="11">
        <v>3</v>
      </c>
      <c r="E57" s="25">
        <f t="shared" si="1"/>
        <v>0</v>
      </c>
      <c r="F57" s="27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40"/>
      <c r="R57" s="26"/>
      <c r="S57" s="47"/>
      <c r="T57" s="26"/>
      <c r="U57" s="26"/>
      <c r="V57" s="26"/>
      <c r="W57" s="26"/>
      <c r="X57" s="53"/>
      <c r="Y57" s="59"/>
      <c r="Z57" s="59"/>
      <c r="AA57" s="59"/>
      <c r="AB57" s="59"/>
    </row>
    <row r="58" ht="18.75" customHeight="1" spans="1:28">
      <c r="A58" s="9"/>
      <c r="B58" s="12"/>
      <c r="C58" s="13" t="s">
        <v>79</v>
      </c>
      <c r="D58" s="11">
        <v>3</v>
      </c>
      <c r="E58" s="25">
        <f t="shared" si="1"/>
        <v>0</v>
      </c>
      <c r="F58" s="27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40"/>
      <c r="S58" s="47"/>
      <c r="T58" s="26"/>
      <c r="U58" s="26"/>
      <c r="V58" s="26"/>
      <c r="W58" s="26"/>
      <c r="X58" s="53" t="s">
        <v>11</v>
      </c>
      <c r="Y58" s="59"/>
      <c r="Z58" s="59"/>
      <c r="AA58" s="59"/>
      <c r="AB58" s="59"/>
    </row>
    <row r="59" ht="18.75" customHeight="1" spans="1:28">
      <c r="A59" s="9"/>
      <c r="B59" s="12"/>
      <c r="C59" s="13" t="s">
        <v>80</v>
      </c>
      <c r="D59" s="11">
        <v>6</v>
      </c>
      <c r="E59" s="25">
        <f t="shared" si="1"/>
        <v>0</v>
      </c>
      <c r="F59" s="27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40"/>
      <c r="S59" s="47"/>
      <c r="T59" s="26"/>
      <c r="U59" s="26"/>
      <c r="V59" s="26"/>
      <c r="W59" s="26"/>
      <c r="X59" s="53" t="s">
        <v>11</v>
      </c>
      <c r="Y59" s="59"/>
      <c r="Z59" s="59"/>
      <c r="AA59" s="59"/>
      <c r="AB59" s="59"/>
    </row>
    <row r="60" ht="18.75" customHeight="1" spans="1:28">
      <c r="A60" s="9"/>
      <c r="B60" s="12"/>
      <c r="C60" s="13" t="s">
        <v>81</v>
      </c>
      <c r="D60" s="11">
        <v>5</v>
      </c>
      <c r="E60" s="25">
        <f t="shared" si="1"/>
        <v>0</v>
      </c>
      <c r="F60" s="27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47"/>
      <c r="T60" s="40"/>
      <c r="U60" s="26"/>
      <c r="V60" s="26"/>
      <c r="W60" s="26"/>
      <c r="X60" s="53" t="s">
        <v>11</v>
      </c>
      <c r="Y60" s="59"/>
      <c r="Z60" s="59"/>
      <c r="AA60" s="59"/>
      <c r="AB60" s="59"/>
    </row>
    <row r="61" ht="18.75" customHeight="1" spans="1:28">
      <c r="A61" s="9"/>
      <c r="B61" s="12"/>
      <c r="C61" s="13" t="s">
        <v>82</v>
      </c>
      <c r="D61" s="11">
        <v>3</v>
      </c>
      <c r="E61" s="25">
        <f t="shared" si="1"/>
        <v>0</v>
      </c>
      <c r="F61" s="27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47"/>
      <c r="T61" s="40"/>
      <c r="U61" s="26"/>
      <c r="V61" s="26"/>
      <c r="W61" s="26"/>
      <c r="X61" s="53" t="s">
        <v>11</v>
      </c>
      <c r="Y61" s="59"/>
      <c r="Z61" s="59"/>
      <c r="AA61" s="59"/>
      <c r="AB61" s="59"/>
    </row>
    <row r="62" ht="18.75" customHeight="1" spans="1:28">
      <c r="A62" s="9"/>
      <c r="B62" s="10" t="s">
        <v>83</v>
      </c>
      <c r="C62" s="10"/>
      <c r="D62" s="11">
        <f>SUM(D63:D64)</f>
        <v>20</v>
      </c>
      <c r="E62" s="25">
        <f t="shared" si="1"/>
        <v>8</v>
      </c>
      <c r="F62" s="31">
        <f t="shared" ref="F62:W62" si="17">SUM(F63:F64)</f>
        <v>0</v>
      </c>
      <c r="G62" s="34">
        <f t="shared" si="17"/>
        <v>0</v>
      </c>
      <c r="H62" s="34">
        <f t="shared" si="17"/>
        <v>0</v>
      </c>
      <c r="I62" s="34">
        <f t="shared" si="17"/>
        <v>4</v>
      </c>
      <c r="J62" s="34">
        <f t="shared" si="17"/>
        <v>4</v>
      </c>
      <c r="K62" s="34">
        <f t="shared" si="17"/>
        <v>0</v>
      </c>
      <c r="L62" s="34">
        <f t="shared" si="17"/>
        <v>0</v>
      </c>
      <c r="M62" s="34">
        <f t="shared" si="17"/>
        <v>0</v>
      </c>
      <c r="N62" s="34">
        <f t="shared" si="17"/>
        <v>0</v>
      </c>
      <c r="O62" s="34">
        <f t="shared" si="17"/>
        <v>0</v>
      </c>
      <c r="P62" s="26">
        <f t="shared" si="17"/>
        <v>0</v>
      </c>
      <c r="Q62" s="34">
        <f t="shared" si="17"/>
        <v>0</v>
      </c>
      <c r="R62" s="26">
        <f t="shared" si="17"/>
        <v>0</v>
      </c>
      <c r="S62" s="47">
        <f t="shared" si="17"/>
        <v>0</v>
      </c>
      <c r="T62" s="26">
        <f t="shared" si="17"/>
        <v>0</v>
      </c>
      <c r="U62" s="26">
        <f t="shared" si="17"/>
        <v>0</v>
      </c>
      <c r="V62" s="26">
        <f t="shared" si="17"/>
        <v>0</v>
      </c>
      <c r="W62" s="34">
        <f t="shared" si="17"/>
        <v>0</v>
      </c>
      <c r="X62" s="53" t="s">
        <v>11</v>
      </c>
      <c r="Y62" s="59"/>
      <c r="Z62" s="59"/>
      <c r="AA62" s="59"/>
      <c r="AB62" s="59"/>
    </row>
    <row r="63" ht="18.75" customHeight="1" spans="1:28">
      <c r="A63" s="9"/>
      <c r="B63" s="12"/>
      <c r="C63" s="13" t="s">
        <v>84</v>
      </c>
      <c r="D63" s="11">
        <v>5</v>
      </c>
      <c r="E63" s="25">
        <f t="shared" si="1"/>
        <v>4</v>
      </c>
      <c r="F63" s="27"/>
      <c r="G63" s="26"/>
      <c r="H63" s="26"/>
      <c r="I63" s="26">
        <v>2</v>
      </c>
      <c r="J63" s="26">
        <v>2</v>
      </c>
      <c r="K63" s="26"/>
      <c r="L63" s="26"/>
      <c r="M63" s="26"/>
      <c r="N63" s="26"/>
      <c r="O63" s="26"/>
      <c r="P63" s="26"/>
      <c r="Q63" s="26"/>
      <c r="R63" s="26"/>
      <c r="S63" s="47"/>
      <c r="T63" s="26"/>
      <c r="U63" s="26"/>
      <c r="V63" s="26"/>
      <c r="W63" s="26"/>
      <c r="X63" s="53" t="s">
        <v>11</v>
      </c>
      <c r="Y63" s="59"/>
      <c r="Z63" s="59"/>
      <c r="AA63" s="59"/>
      <c r="AB63" s="59"/>
    </row>
    <row r="64" ht="18.75" customHeight="1" spans="1:28">
      <c r="A64" s="9"/>
      <c r="B64" s="12"/>
      <c r="C64" s="13" t="s">
        <v>85</v>
      </c>
      <c r="D64" s="11">
        <v>15</v>
      </c>
      <c r="E64" s="25">
        <f t="shared" si="1"/>
        <v>4</v>
      </c>
      <c r="F64" s="27"/>
      <c r="G64" s="26"/>
      <c r="H64" s="26"/>
      <c r="I64" s="26">
        <v>2</v>
      </c>
      <c r="J64" s="26">
        <v>2</v>
      </c>
      <c r="K64" s="26"/>
      <c r="L64" s="26"/>
      <c r="M64" s="26"/>
      <c r="N64" s="26"/>
      <c r="O64" s="26"/>
      <c r="P64" s="26"/>
      <c r="Q64" s="26"/>
      <c r="R64" s="26"/>
      <c r="S64" s="47"/>
      <c r="T64" s="26"/>
      <c r="U64" s="26"/>
      <c r="V64" s="26"/>
      <c r="W64" s="26"/>
      <c r="X64" s="53" t="s">
        <v>11</v>
      </c>
      <c r="Y64" s="59"/>
      <c r="Z64" s="59"/>
      <c r="AA64" s="59"/>
      <c r="AB64" s="59"/>
    </row>
    <row r="65" ht="18.75" customHeight="1" spans="2:28">
      <c r="B65" s="82" t="s">
        <v>86</v>
      </c>
      <c r="C65" s="82"/>
      <c r="D65" s="83">
        <f t="shared" ref="D65:V65" si="18">D29+D17+D3</f>
        <v>278</v>
      </c>
      <c r="E65" s="83">
        <f t="shared" si="18"/>
        <v>113.5</v>
      </c>
      <c r="F65" s="83">
        <f t="shared" si="18"/>
        <v>15</v>
      </c>
      <c r="G65" s="83">
        <f t="shared" si="18"/>
        <v>12</v>
      </c>
      <c r="H65" s="83">
        <f t="shared" si="18"/>
        <v>15</v>
      </c>
      <c r="I65" s="83">
        <f t="shared" si="18"/>
        <v>16</v>
      </c>
      <c r="J65" s="83">
        <f t="shared" si="18"/>
        <v>17</v>
      </c>
      <c r="K65" s="83">
        <f t="shared" si="18"/>
        <v>23</v>
      </c>
      <c r="L65" s="83">
        <f t="shared" si="18"/>
        <v>15.5</v>
      </c>
      <c r="M65" s="83">
        <f t="shared" si="18"/>
        <v>0</v>
      </c>
      <c r="N65" s="83">
        <f t="shared" si="18"/>
        <v>0</v>
      </c>
      <c r="O65" s="83">
        <f t="shared" si="18"/>
        <v>0</v>
      </c>
      <c r="P65" s="83">
        <f t="shared" si="18"/>
        <v>0</v>
      </c>
      <c r="Q65" s="83">
        <f t="shared" si="18"/>
        <v>0</v>
      </c>
      <c r="R65" s="83">
        <f t="shared" si="18"/>
        <v>0</v>
      </c>
      <c r="S65" s="83">
        <f t="shared" si="18"/>
        <v>0</v>
      </c>
      <c r="T65" s="83">
        <f t="shared" si="18"/>
        <v>0</v>
      </c>
      <c r="U65" s="83">
        <f t="shared" si="18"/>
        <v>0</v>
      </c>
      <c r="V65" s="83">
        <f t="shared" si="18"/>
        <v>0</v>
      </c>
      <c r="W65" s="83"/>
      <c r="X65" s="86"/>
      <c r="Y65" s="59"/>
      <c r="Z65" s="59"/>
      <c r="AA65" s="59"/>
      <c r="AB65" s="59"/>
    </row>
    <row r="66" ht="18.75" customHeight="1" spans="3:28">
      <c r="C66" s="13" t="s">
        <v>87</v>
      </c>
      <c r="D66" s="84">
        <f>SUM(F66:V66)</f>
        <v>240</v>
      </c>
      <c r="E66" s="84">
        <f>SUM(F66:V66)</f>
        <v>240</v>
      </c>
      <c r="F66" s="85">
        <v>15</v>
      </c>
      <c r="G66" s="85">
        <v>15</v>
      </c>
      <c r="H66" s="85">
        <v>15</v>
      </c>
      <c r="I66" s="85">
        <v>15</v>
      </c>
      <c r="J66" s="85">
        <v>15</v>
      </c>
      <c r="K66" s="85">
        <v>15</v>
      </c>
      <c r="L66" s="85">
        <v>15</v>
      </c>
      <c r="M66" s="85">
        <v>15</v>
      </c>
      <c r="N66" s="85">
        <v>15</v>
      </c>
      <c r="O66" s="85">
        <v>15</v>
      </c>
      <c r="P66" s="85">
        <v>15</v>
      </c>
      <c r="Q66" s="85">
        <v>15</v>
      </c>
      <c r="R66" s="85">
        <v>15</v>
      </c>
      <c r="S66" s="85">
        <v>0</v>
      </c>
      <c r="T66" s="85">
        <v>15</v>
      </c>
      <c r="U66" s="85">
        <v>15</v>
      </c>
      <c r="V66" s="85">
        <v>15</v>
      </c>
      <c r="Y66" s="59"/>
      <c r="Z66" s="59"/>
      <c r="AA66" s="59"/>
      <c r="AB66" s="59"/>
    </row>
    <row r="67" ht="18.75" customHeight="1" spans="3:28">
      <c r="C67" s="13" t="s">
        <v>88</v>
      </c>
      <c r="D67" s="84">
        <f t="shared" ref="D67:V67" si="19">D66-D65</f>
        <v>-38</v>
      </c>
      <c r="E67" s="84">
        <f t="shared" si="19"/>
        <v>126.5</v>
      </c>
      <c r="F67" s="84">
        <f t="shared" si="19"/>
        <v>0</v>
      </c>
      <c r="G67" s="84">
        <f t="shared" si="19"/>
        <v>3</v>
      </c>
      <c r="H67" s="84">
        <f t="shared" si="19"/>
        <v>0</v>
      </c>
      <c r="I67" s="84">
        <f t="shared" si="19"/>
        <v>-1</v>
      </c>
      <c r="J67" s="84">
        <f t="shared" si="19"/>
        <v>-2</v>
      </c>
      <c r="K67" s="84">
        <f t="shared" si="19"/>
        <v>-8</v>
      </c>
      <c r="L67" s="84">
        <f t="shared" si="19"/>
        <v>-0.5</v>
      </c>
      <c r="M67" s="84">
        <f t="shared" si="19"/>
        <v>15</v>
      </c>
      <c r="N67" s="84">
        <f t="shared" si="19"/>
        <v>15</v>
      </c>
      <c r="O67" s="84">
        <f t="shared" si="19"/>
        <v>15</v>
      </c>
      <c r="P67" s="84">
        <f t="shared" si="19"/>
        <v>15</v>
      </c>
      <c r="Q67" s="84">
        <f t="shared" si="19"/>
        <v>15</v>
      </c>
      <c r="R67" s="84">
        <f t="shared" si="19"/>
        <v>15</v>
      </c>
      <c r="S67" s="84">
        <f t="shared" si="19"/>
        <v>0</v>
      </c>
      <c r="T67" s="84">
        <f t="shared" si="19"/>
        <v>15</v>
      </c>
      <c r="U67" s="84">
        <f t="shared" si="19"/>
        <v>15</v>
      </c>
      <c r="V67" s="84">
        <f t="shared" si="19"/>
        <v>15</v>
      </c>
      <c r="Y67" s="87"/>
      <c r="Z67" s="88"/>
      <c r="AA67" s="87"/>
      <c r="AB67" s="87"/>
    </row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C1"/>
    <mergeCell ref="D1:E1"/>
    <mergeCell ref="F1:W1"/>
    <mergeCell ref="A2:C2"/>
    <mergeCell ref="A3:B3"/>
    <mergeCell ref="B4:C4"/>
    <mergeCell ref="B7:C7"/>
    <mergeCell ref="B11:C11"/>
    <mergeCell ref="B14:C14"/>
    <mergeCell ref="A17:B17"/>
    <mergeCell ref="B18:C18"/>
    <mergeCell ref="Z18:AA18"/>
    <mergeCell ref="B21:C21"/>
    <mergeCell ref="B23:C23"/>
    <mergeCell ref="B26:C26"/>
    <mergeCell ref="A29:B29"/>
    <mergeCell ref="B30:C30"/>
    <mergeCell ref="B40:C40"/>
    <mergeCell ref="B47:C47"/>
    <mergeCell ref="B52:C52"/>
    <mergeCell ref="B62:C62"/>
    <mergeCell ref="B65:C65"/>
    <mergeCell ref="Z19:AA20"/>
    <mergeCell ref="Z21:AA22"/>
  </mergeCells>
  <conditionalFormatting sqref="E3">
    <cfRule type="expression" dxfId="0" priority="69">
      <formula>E3&lt;D3</formula>
    </cfRule>
    <cfRule type="expression" dxfId="1" priority="70">
      <formula>E3&gt;D3</formula>
    </cfRule>
    <cfRule type="cellIs" dxfId="1" priority="71" operator="greaterThan">
      <formula>"D5"</formula>
    </cfRule>
    <cfRule type="cellIs" dxfId="2" priority="72" operator="equal">
      <formula>0</formula>
    </cfRule>
  </conditionalFormatting>
  <conditionalFormatting sqref="D11">
    <cfRule type="cellIs" dxfId="3" priority="100" operator="equal">
      <formula>0</formula>
    </cfRule>
  </conditionalFormatting>
  <conditionalFormatting sqref="F11:W11">
    <cfRule type="cellIs" dxfId="4" priority="91" operator="equal">
      <formula>0</formula>
    </cfRule>
  </conditionalFormatting>
  <conditionalFormatting sqref="P11">
    <cfRule type="cellIs" dxfId="4" priority="107" operator="equal">
      <formula>0</formula>
    </cfRule>
  </conditionalFormatting>
  <conditionalFormatting sqref="S11">
    <cfRule type="cellIs" dxfId="4" priority="113" operator="equal">
      <formula>0</formula>
    </cfRule>
  </conditionalFormatting>
  <conditionalFormatting sqref="D14">
    <cfRule type="cellIs" dxfId="3" priority="73" operator="equal">
      <formula>0</formula>
    </cfRule>
  </conditionalFormatting>
  <conditionalFormatting sqref="F14:W14">
    <cfRule type="cellIs" dxfId="4" priority="21" operator="equal">
      <formula>0</formula>
    </cfRule>
  </conditionalFormatting>
  <conditionalFormatting sqref="P14">
    <cfRule type="cellIs" dxfId="4" priority="103" operator="equal">
      <formula>0</formula>
    </cfRule>
  </conditionalFormatting>
  <conditionalFormatting sqref="S14">
    <cfRule type="cellIs" dxfId="4" priority="109" operator="equal">
      <formula>0</formula>
    </cfRule>
  </conditionalFormatting>
  <conditionalFormatting sqref="E17">
    <cfRule type="expression" dxfId="0" priority="77">
      <formula>E17&lt;D17</formula>
    </cfRule>
    <cfRule type="expression" dxfId="1" priority="78">
      <formula>E17&gt;D17</formula>
    </cfRule>
    <cfRule type="cellIs" dxfId="1" priority="79" operator="greaterThan">
      <formula>"D5"</formula>
    </cfRule>
    <cfRule type="cellIs" dxfId="2" priority="80" operator="equal">
      <formula>0</formula>
    </cfRule>
  </conditionalFormatting>
  <conditionalFormatting sqref="D23">
    <cfRule type="cellIs" dxfId="3" priority="74" operator="equal">
      <formula>0</formula>
    </cfRule>
  </conditionalFormatting>
  <conditionalFormatting sqref="P23">
    <cfRule type="cellIs" dxfId="4" priority="104" operator="equal">
      <formula>0</formula>
    </cfRule>
  </conditionalFormatting>
  <conditionalFormatting sqref="S23">
    <cfRule type="cellIs" dxfId="4" priority="110" operator="equal">
      <formula>0</formula>
    </cfRule>
  </conditionalFormatting>
  <conditionalFormatting sqref="D26">
    <cfRule type="cellIs" dxfId="3" priority="75" operator="equal">
      <formula>0</formula>
    </cfRule>
  </conditionalFormatting>
  <conditionalFormatting sqref="P26">
    <cfRule type="cellIs" dxfId="4" priority="105" operator="equal">
      <formula>0</formula>
    </cfRule>
  </conditionalFormatting>
  <conditionalFormatting sqref="S26">
    <cfRule type="cellIs" dxfId="4" priority="111" operator="equal">
      <formula>0</formula>
    </cfRule>
  </conditionalFormatting>
  <conditionalFormatting sqref="E29">
    <cfRule type="expression" dxfId="0" priority="81">
      <formula>E29&lt;D29</formula>
    </cfRule>
    <cfRule type="expression" dxfId="1" priority="82">
      <formula>E29&gt;D29</formula>
    </cfRule>
    <cfRule type="cellIs" dxfId="1" priority="83" operator="greaterThan">
      <formula>"D5"</formula>
    </cfRule>
    <cfRule type="cellIs" dxfId="2" priority="84" operator="equal">
      <formula>0</formula>
    </cfRule>
  </conditionalFormatting>
  <conditionalFormatting sqref="E59">
    <cfRule type="expression" dxfId="0" priority="114">
      <formula>#REF!&lt;#REF!</formula>
    </cfRule>
    <cfRule type="expression" dxfId="1" priority="115">
      <formula>#REF!&gt;#REF!</formula>
    </cfRule>
    <cfRule type="cellIs" dxfId="1" priority="116" operator="greaterThan">
      <formula>"D5"</formula>
    </cfRule>
    <cfRule type="cellIs" dxfId="2" priority="117" operator="equal">
      <formula>0</formula>
    </cfRule>
  </conditionalFormatting>
  <conditionalFormatting sqref="D65:W65">
    <cfRule type="cellIs" dxfId="5" priority="3" operator="equal">
      <formula>0</formula>
    </cfRule>
  </conditionalFormatting>
  <conditionalFormatting sqref="D67:V67">
    <cfRule type="cellIs" dxfId="6" priority="85" operator="lessThan">
      <formula>0</formula>
    </cfRule>
    <cfRule type="cellIs" dxfId="7" priority="86" operator="greaterThan">
      <formula>0</formula>
    </cfRule>
  </conditionalFormatting>
  <conditionalFormatting sqref="E11:E13">
    <cfRule type="expression" dxfId="0" priority="87">
      <formula>E11&lt;D11</formula>
    </cfRule>
    <cfRule type="expression" dxfId="1" priority="88">
      <formula>E11&gt;D11</formula>
    </cfRule>
    <cfRule type="cellIs" dxfId="1" priority="89" operator="greaterThan">
      <formula>"D5"</formula>
    </cfRule>
    <cfRule type="cellIs" dxfId="2" priority="90" operator="equal">
      <formula>0</formula>
    </cfRule>
  </conditionalFormatting>
  <conditionalFormatting sqref="E14:E16">
    <cfRule type="expression" dxfId="0" priority="17">
      <formula>E14&lt;D14</formula>
    </cfRule>
    <cfRule type="expression" dxfId="1" priority="18">
      <formula>E14&gt;D14</formula>
    </cfRule>
    <cfRule type="cellIs" dxfId="1" priority="19" operator="greaterThan">
      <formula>"D5"</formula>
    </cfRule>
    <cfRule type="cellIs" dxfId="2" priority="20" operator="equal">
      <formula>0</formula>
    </cfRule>
  </conditionalFormatting>
  <conditionalFormatting sqref="E23:E25">
    <cfRule type="expression" dxfId="0" priority="30">
      <formula>E23&lt;D23</formula>
    </cfRule>
    <cfRule type="expression" dxfId="1" priority="31">
      <formula>E23&gt;D23</formula>
    </cfRule>
    <cfRule type="cellIs" dxfId="1" priority="32" operator="greaterThan">
      <formula>"D5"</formula>
    </cfRule>
    <cfRule type="cellIs" dxfId="2" priority="33" operator="equal">
      <formula>0</formula>
    </cfRule>
  </conditionalFormatting>
  <conditionalFormatting sqref="E26:E28">
    <cfRule type="expression" dxfId="0" priority="43">
      <formula>E26&lt;D26</formula>
    </cfRule>
    <cfRule type="expression" dxfId="1" priority="44">
      <formula>E26&gt;D26</formula>
    </cfRule>
    <cfRule type="cellIs" dxfId="1" priority="45" operator="greaterThan">
      <formula>"D5"</formula>
    </cfRule>
    <cfRule type="cellIs" dxfId="2" priority="46" operator="equal">
      <formula>0</formula>
    </cfRule>
  </conditionalFormatting>
  <conditionalFormatting sqref="X11:X13">
    <cfRule type="cellIs" dxfId="8" priority="92" operator="equal">
      <formula>"Complete"</formula>
    </cfRule>
    <cfRule type="cellIs" dxfId="9" priority="93" operator="equal">
      <formula>"Early &amp; Complete"</formula>
    </cfRule>
    <cfRule type="cellIs" dxfId="10" priority="94" operator="equal">
      <formula>"Ontime (In Progress)"</formula>
    </cfRule>
    <cfRule type="cellIs" dxfId="11" priority="95" operator="equal">
      <formula>"Late (In Progress)"</formula>
    </cfRule>
    <cfRule type="cellIs" dxfId="12" priority="96" operator="equal">
      <formula>"Very Late (In Progress)"</formula>
    </cfRule>
    <cfRule type="cellIs" dxfId="13" priority="97" operator="equal">
      <formula>"Not Started"</formula>
    </cfRule>
    <cfRule type="cellIs" dxfId="14" priority="98" operator="equal">
      <formula>"Late &amp; Complete"</formula>
    </cfRule>
    <cfRule type="cellIs" dxfId="12" priority="99" operator="equal">
      <formula>"Very Late &amp; Complete"</formula>
    </cfRule>
  </conditionalFormatting>
  <conditionalFormatting sqref="X14:X16">
    <cfRule type="cellIs" dxfId="8" priority="22" operator="equal">
      <formula>"Complete"</formula>
    </cfRule>
    <cfRule type="cellIs" dxfId="9" priority="23" operator="equal">
      <formula>"Early &amp; Complete"</formula>
    </cfRule>
    <cfRule type="cellIs" dxfId="10" priority="24" operator="equal">
      <formula>"Ontime (In Progress)"</formula>
    </cfRule>
    <cfRule type="cellIs" dxfId="11" priority="25" operator="equal">
      <formula>"Late (In Progress)"</formula>
    </cfRule>
    <cfRule type="cellIs" dxfId="12" priority="26" operator="equal">
      <formula>"Very Late (In Progress)"</formula>
    </cfRule>
    <cfRule type="cellIs" dxfId="13" priority="27" operator="equal">
      <formula>"Not Started"</formula>
    </cfRule>
    <cfRule type="cellIs" dxfId="14" priority="28" operator="equal">
      <formula>"Late &amp; Complete"</formula>
    </cfRule>
    <cfRule type="cellIs" dxfId="12" priority="29" operator="equal">
      <formula>"Very Late &amp; Complete"</formula>
    </cfRule>
  </conditionalFormatting>
  <conditionalFormatting sqref="X23:X25">
    <cfRule type="cellIs" dxfId="8" priority="35" operator="equal">
      <formula>"Complete"</formula>
    </cfRule>
    <cfRule type="cellIs" dxfId="9" priority="36" operator="equal">
      <formula>"Early &amp; Complete"</formula>
    </cfRule>
    <cfRule type="cellIs" dxfId="10" priority="37" operator="equal">
      <formula>"Ontime (In Progress)"</formula>
    </cfRule>
    <cfRule type="cellIs" dxfId="11" priority="38" operator="equal">
      <formula>"Late (In Progress)"</formula>
    </cfRule>
    <cfRule type="cellIs" dxfId="12" priority="39" operator="equal">
      <formula>"Very Late (In Progress)"</formula>
    </cfRule>
    <cfRule type="cellIs" dxfId="13" priority="40" operator="equal">
      <formula>"Not Started"</formula>
    </cfRule>
    <cfRule type="cellIs" dxfId="14" priority="41" operator="equal">
      <formula>"Late &amp; Complete"</formula>
    </cfRule>
    <cfRule type="cellIs" dxfId="12" priority="42" operator="equal">
      <formula>"Very Late &amp; Complete"</formula>
    </cfRule>
  </conditionalFormatting>
  <conditionalFormatting sqref="X26:X28">
    <cfRule type="cellIs" dxfId="8" priority="48" operator="equal">
      <formula>"Complete"</formula>
    </cfRule>
    <cfRule type="cellIs" dxfId="9" priority="49" operator="equal">
      <formula>"Early &amp; Complete"</formula>
    </cfRule>
    <cfRule type="cellIs" dxfId="10" priority="50" operator="equal">
      <formula>"Ontime (In Progress)"</formula>
    </cfRule>
    <cfRule type="cellIs" dxfId="11" priority="51" operator="equal">
      <formula>"Late (In Progress)"</formula>
    </cfRule>
    <cfRule type="cellIs" dxfId="12" priority="52" operator="equal">
      <formula>"Very Late (In Progress)"</formula>
    </cfRule>
    <cfRule type="cellIs" dxfId="13" priority="53" operator="equal">
      <formula>"Not Started"</formula>
    </cfRule>
    <cfRule type="cellIs" dxfId="14" priority="54" operator="equal">
      <formula>"Late &amp; Complete"</formula>
    </cfRule>
    <cfRule type="cellIs" dxfId="12" priority="55" operator="equal">
      <formula>"Very Late &amp; Complete"</formula>
    </cfRule>
  </conditionalFormatting>
  <conditionalFormatting sqref="X52:X64">
    <cfRule type="cellIs" dxfId="8" priority="61" operator="equal">
      <formula>"Complete"</formula>
    </cfRule>
    <cfRule type="cellIs" dxfId="9" priority="62" operator="equal">
      <formula>"Early &amp; Complete"</formula>
    </cfRule>
    <cfRule type="cellIs" dxfId="10" priority="63" operator="equal">
      <formula>"Ontime (In Progress)"</formula>
    </cfRule>
    <cfRule type="cellIs" dxfId="11" priority="64" operator="equal">
      <formula>"Late (In Progress)"</formula>
    </cfRule>
    <cfRule type="cellIs" dxfId="12" priority="65" operator="equal">
      <formula>"Very Late (In Progress)"</formula>
    </cfRule>
    <cfRule type="cellIs" dxfId="13" priority="66" operator="equal">
      <formula>"Not Started"</formula>
    </cfRule>
    <cfRule type="cellIs" dxfId="14" priority="67" operator="equal">
      <formula>"Late &amp; Complete"</formula>
    </cfRule>
    <cfRule type="cellIs" dxfId="12" priority="68" operator="equal">
      <formula>"Very Late &amp; Complete"</formula>
    </cfRule>
  </conditionalFormatting>
  <conditionalFormatting sqref="D4 D7 D18 D21 D30 D47 D40">
    <cfRule type="cellIs" dxfId="3" priority="2" operator="equal">
      <formula>0</formula>
    </cfRule>
  </conditionalFormatting>
  <conditionalFormatting sqref="V4:W4 F7:W7 F18:W18 F21:W21 F30:W30 F47:W47 D65:W65 F40:W40">
    <cfRule type="cellIs" dxfId="4" priority="8" operator="equal">
      <formula>0</formula>
    </cfRule>
  </conditionalFormatting>
  <conditionalFormatting sqref="E4:E10 E18:E22 E30:E51">
    <cfRule type="expression" dxfId="0" priority="4">
      <formula>E4&lt;D4</formula>
    </cfRule>
    <cfRule type="expression" dxfId="1" priority="5">
      <formula>E4&gt;D4</formula>
    </cfRule>
    <cfRule type="cellIs" dxfId="1" priority="6" operator="greaterThan">
      <formula>"D5"</formula>
    </cfRule>
    <cfRule type="cellIs" dxfId="2" priority="7" operator="equal">
      <formula>0</formula>
    </cfRule>
  </conditionalFormatting>
  <conditionalFormatting sqref="X4:X10 X18:X22 X30:X51">
    <cfRule type="cellIs" dxfId="8" priority="9" operator="equal">
      <formula>"Complete"</formula>
    </cfRule>
    <cfRule type="cellIs" dxfId="9" priority="10" operator="equal">
      <formula>"Early &amp; Complete"</formula>
    </cfRule>
    <cfRule type="cellIs" dxfId="10" priority="11" operator="equal">
      <formula>"Ontime (In Progress)"</formula>
    </cfRule>
    <cfRule type="cellIs" dxfId="11" priority="12" operator="equal">
      <formula>"Late (In Progress)"</formula>
    </cfRule>
    <cfRule type="cellIs" dxfId="12" priority="13" operator="equal">
      <formula>"Very Late (In Progress)"</formula>
    </cfRule>
    <cfRule type="cellIs" dxfId="13" priority="14" operator="equal">
      <formula>"Not Started"</formula>
    </cfRule>
    <cfRule type="cellIs" dxfId="14" priority="15" operator="equal">
      <formula>"Late &amp; Complete"</formula>
    </cfRule>
    <cfRule type="cellIs" dxfId="12" priority="16" operator="equal">
      <formula>"Very Late &amp; Complete"</formula>
    </cfRule>
  </conditionalFormatting>
  <conditionalFormatting sqref="P7 P18 P21 P30 P47 P40">
    <cfRule type="cellIs" dxfId="4" priority="102" operator="equal">
      <formula>0</formula>
    </cfRule>
  </conditionalFormatting>
  <conditionalFormatting sqref="S7 S18 S21 S30 S47 S40">
    <cfRule type="cellIs" dxfId="4" priority="108" operator="equal">
      <formula>0</formula>
    </cfRule>
  </conditionalFormatting>
  <conditionalFormatting sqref="R11 T11:V11">
    <cfRule type="cellIs" dxfId="4" priority="101" operator="equal">
      <formula>0</formula>
    </cfRule>
  </conditionalFormatting>
  <conditionalFormatting sqref="F23:O23 Q23:R23 T23:W23">
    <cfRule type="cellIs" dxfId="4" priority="34" operator="equal">
      <formula>0</formula>
    </cfRule>
  </conditionalFormatting>
  <conditionalFormatting sqref="F26:O26 Q26:R26 T26:W26">
    <cfRule type="cellIs" dxfId="4" priority="47" operator="equal">
      <formula>0</formula>
    </cfRule>
  </conditionalFormatting>
  <conditionalFormatting sqref="D52 D62">
    <cfRule type="cellIs" dxfId="3" priority="76" operator="equal">
      <formula>0</formula>
    </cfRule>
  </conditionalFormatting>
  <conditionalFormatting sqref="E62:E63 E52:E58">
    <cfRule type="expression" dxfId="0" priority="118">
      <formula>E42&lt;D42</formula>
    </cfRule>
    <cfRule type="expression" dxfId="1" priority="119">
      <formula>E42&gt;D42</formula>
    </cfRule>
    <cfRule type="cellIs" dxfId="1" priority="120" operator="greaterThan">
      <formula>"D5"</formula>
    </cfRule>
    <cfRule type="cellIs" dxfId="2" priority="121" operator="equal">
      <formula>0</formula>
    </cfRule>
  </conditionalFormatting>
  <conditionalFormatting sqref="F52:W52 F62:W62">
    <cfRule type="cellIs" dxfId="4" priority="60" operator="equal">
      <formula>0</formula>
    </cfRule>
  </conditionalFormatting>
  <conditionalFormatting sqref="P52 P62">
    <cfRule type="cellIs" dxfId="4" priority="106" operator="equal">
      <formula>0</formula>
    </cfRule>
  </conditionalFormatting>
  <conditionalFormatting sqref="S52 S62">
    <cfRule type="cellIs" dxfId="4" priority="112" operator="equal">
      <formula>0</formula>
    </cfRule>
  </conditionalFormatting>
  <conditionalFormatting sqref="E60:E61 E64">
    <cfRule type="expression" dxfId="0" priority="56">
      <formula>E48&lt;D48</formula>
    </cfRule>
    <cfRule type="expression" dxfId="1" priority="57">
      <formula>E48&gt;D48</formula>
    </cfRule>
    <cfRule type="cellIs" dxfId="1" priority="58" operator="greaterThan">
      <formula>"D5"</formula>
    </cfRule>
    <cfRule type="cellIs" dxfId="2" priority="59" operator="equal">
      <formula>0</formula>
    </cfRule>
  </conditionalFormatting>
  <dataValidations count="2">
    <dataValidation type="list" allowBlank="1" sqref="X16 X28 X4:X7 X10:X11 X13:X14 X18:X23 X25:X26 X30:X64">
      <formula1>"Complete,Early &amp; Complete,Ontime (In Progress),Late (In Progress),Very Late &amp; Complete,Very Late (In Progress),Not Started,Late &amp; Complete"</formula1>
    </dataValidation>
    <dataValidation type="list" allowBlank="1" sqref="X12 X15 X24 X27 X8:X9">
      <formula1>"Complete,Early &amp; Complete,Ontime (In Progress),Late (In Progress),Very Late &amp; Complete,Very Late (In Progress),Not Started,Late &amp; Completed"</formula1>
    </dataValidation>
  </dataValidations>
  <pageMargins left="0" right="0" top="0" bottom="0" header="0.511811023622047" footer="0.511811023622047"/>
  <pageSetup paperSize="1" orientation="landscape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E Palo</dc:creator>
  <cp:lastModifiedBy>justin-le</cp:lastModifiedBy>
  <cp:revision>8</cp:revision>
  <dcterms:created xsi:type="dcterms:W3CDTF">2024-09-06T20:08:00Z</dcterms:created>
  <cp:lastPrinted>2026-09-17T00:48:00Z</cp:lastPrinted>
  <dcterms:modified xsi:type="dcterms:W3CDTF">2026-10-09T16:34:34Z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