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D4F21308-C10F-4C6F-A869-CD34BF508DF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7xWSXX5ea/UcpGUTrOhZSnW5y/U5yK8uLF/pdh4BH8="/>
    </ext>
  </extLst>
</workbook>
</file>

<file path=xl/calcChain.xml><?xml version="1.0" encoding="utf-8"?>
<calcChain xmlns="http://schemas.openxmlformats.org/spreadsheetml/2006/main">
  <c r="E42" i="1" l="1"/>
  <c r="D42" i="1"/>
  <c r="E40" i="1"/>
  <c r="E39" i="1"/>
  <c r="E38" i="1"/>
  <c r="W37" i="1"/>
  <c r="V37" i="1"/>
  <c r="U37" i="1"/>
  <c r="J37" i="1"/>
  <c r="I37" i="1"/>
  <c r="H37" i="1"/>
  <c r="G37" i="1"/>
  <c r="F37" i="1"/>
  <c r="E37" i="1"/>
  <c r="D37" i="1"/>
  <c r="E36" i="1"/>
  <c r="E35" i="1"/>
  <c r="E34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E32" i="1"/>
  <c r="E31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V29" i="1"/>
  <c r="V41" i="1" s="1"/>
  <c r="V43" i="1" s="1"/>
  <c r="U29" i="1"/>
  <c r="U41" i="1" s="1"/>
  <c r="U43" i="1" s="1"/>
  <c r="T29" i="1"/>
  <c r="T41" i="1" s="1"/>
  <c r="T43" i="1" s="1"/>
  <c r="S29" i="1"/>
  <c r="S41" i="1" s="1"/>
  <c r="S43" i="1" s="1"/>
  <c r="R29" i="1"/>
  <c r="R41" i="1" s="1"/>
  <c r="R43" i="1" s="1"/>
  <c r="Q29" i="1"/>
  <c r="Q41" i="1" s="1"/>
  <c r="Q43" i="1" s="1"/>
  <c r="P29" i="1"/>
  <c r="P41" i="1" s="1"/>
  <c r="P43" i="1" s="1"/>
  <c r="O29" i="1"/>
  <c r="O41" i="1" s="1"/>
  <c r="O43" i="1" s="1"/>
  <c r="N29" i="1"/>
  <c r="N41" i="1" s="1"/>
  <c r="N43" i="1" s="1"/>
  <c r="M29" i="1"/>
  <c r="M41" i="1" s="1"/>
  <c r="M43" i="1" s="1"/>
  <c r="L29" i="1"/>
  <c r="L41" i="1" s="1"/>
  <c r="L43" i="1" s="1"/>
  <c r="K29" i="1"/>
  <c r="K41" i="1" s="1"/>
  <c r="K43" i="1" s="1"/>
  <c r="J29" i="1"/>
  <c r="J41" i="1" s="1"/>
  <c r="J43" i="1" s="1"/>
  <c r="I29" i="1"/>
  <c r="I41" i="1" s="1"/>
  <c r="I43" i="1" s="1"/>
  <c r="H29" i="1"/>
  <c r="G29" i="1"/>
  <c r="F29" i="1"/>
  <c r="F41" i="1" s="1"/>
  <c r="F43" i="1" s="1"/>
  <c r="E29" i="1"/>
  <c r="D29" i="1"/>
  <c r="D41" i="1" s="1"/>
  <c r="E28" i="1"/>
  <c r="E27" i="1"/>
  <c r="W26" i="1"/>
  <c r="K26" i="1"/>
  <c r="J26" i="1"/>
  <c r="I26" i="1"/>
  <c r="H26" i="1"/>
  <c r="G26" i="1"/>
  <c r="F26" i="1"/>
  <c r="E26" i="1"/>
  <c r="D26" i="1"/>
  <c r="E25" i="1"/>
  <c r="E24" i="1"/>
  <c r="W23" i="1"/>
  <c r="K23" i="1"/>
  <c r="J23" i="1"/>
  <c r="I23" i="1"/>
  <c r="H23" i="1"/>
  <c r="G23" i="1"/>
  <c r="F23" i="1"/>
  <c r="E23" i="1"/>
  <c r="D23" i="1"/>
  <c r="E22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E20" i="1"/>
  <c r="E19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E16" i="1"/>
  <c r="E15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E13" i="1"/>
  <c r="E12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E10" i="1"/>
  <c r="E9" i="1"/>
  <c r="E8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E6" i="1"/>
  <c r="E5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G2" i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G41" i="1" l="1"/>
  <c r="G43" i="1" s="1"/>
  <c r="H41" i="1"/>
  <c r="H43" i="1" s="1"/>
  <c r="E41" i="1"/>
  <c r="C3" i="1"/>
  <c r="C17" i="1"/>
  <c r="C29" i="1"/>
  <c r="E43" i="1"/>
  <c r="D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" authorId="0" shapeId="0" xr:uid="{00000000-0006-0000-0000-000005000000}">
      <text>
        <r>
          <rPr>
            <sz val="10"/>
            <color rgb="FF000000"/>
            <rFont val="Calibri"/>
            <scheme val="minor"/>
          </rPr>
          <t>======
ID#AAACGTV1svQ
Scott Palo    (2026-09-02 21:02:20)
The  week is green</t>
        </r>
      </text>
    </comment>
    <comment ref="M2" authorId="0" shapeId="0" xr:uid="{00000000-0006-0000-0000-000007000000}">
      <text>
        <r>
          <rPr>
            <sz val="10"/>
            <color rgb="FF000000"/>
            <rFont val="Calibri"/>
            <scheme val="minor"/>
          </rPr>
          <t>======
ID#AAACGTV1svM
Scott Palo    (2026-09-02 21:02:20)
Mid Semester Review Week</t>
        </r>
      </text>
    </comment>
    <comment ref="P2" authorId="0" shapeId="0" xr:uid="{00000000-0006-0000-0000-000009000000}">
      <text>
        <r>
          <rPr>
            <sz val="10"/>
            <color rgb="FF000000"/>
            <rFont val="Calibri"/>
            <scheme val="minor"/>
          </rPr>
          <t>======
ID#AAACGTV1su4
Scott Palo    (2026-09-02 21:02:20)
Spring Break</t>
        </r>
      </text>
    </comment>
    <comment ref="U2" authorId="0" shapeId="0" xr:uid="{00000000-0006-0000-0000-000003000000}">
      <text>
        <r>
          <rPr>
            <sz val="10"/>
            <color rgb="FF000000"/>
            <rFont val="Calibri"/>
            <scheme val="minor"/>
          </rPr>
          <t>======
ID#AAACGTV1svI
Scott Palo    (2026-09-02 21:02:20)
Final Review Week</t>
        </r>
      </text>
    </comment>
    <comment ref="V2" authorId="0" shapeId="0" xr:uid="{00000000-0006-0000-0000-000004000000}">
      <text>
        <r>
          <rPr>
            <sz val="10"/>
            <color rgb="FF000000"/>
            <rFont val="Calibri"/>
            <scheme val="minor"/>
          </rPr>
          <t>======
ID#AAACGTV1su8
Scott Palo    (2026-09-02 21:02:20)
Final Report due Monday 12/16</t>
        </r>
      </text>
    </comment>
    <comment ref="C3" authorId="0" shapeId="0" xr:uid="{00000000-0006-0000-0000-000001000000}">
      <text>
        <r>
          <rPr>
            <sz val="10"/>
            <color rgb="FF000000"/>
            <rFont val="Calibri"/>
            <scheme val="minor"/>
          </rPr>
          <t>======
ID#AAACGTV1svU
Scott Palo    (2026-09-02 21:02:20)
Class &amp; meetings should be 25-35% of your time</t>
        </r>
      </text>
    </comment>
    <comment ref="C17" authorId="0" shapeId="0" xr:uid="{00000000-0006-0000-0000-000002000000}">
      <text>
        <r>
          <rPr>
            <sz val="10"/>
            <color rgb="FF000000"/>
            <rFont val="Calibri"/>
            <scheme val="minor"/>
          </rPr>
          <t>======
ID#AAACGTV1svE
Scott Palo    (2026-09-02 21:02:20)
Documentation should be 20-30% of your time</t>
        </r>
      </text>
    </comment>
    <comment ref="C29" authorId="0" shapeId="0" xr:uid="{00000000-0006-0000-0000-000006000000}">
      <text>
        <r>
          <rPr>
            <sz val="10"/>
            <color rgb="FF000000"/>
            <rFont val="Calibri"/>
            <scheme val="minor"/>
          </rPr>
          <t>======
ID#AAACGTV1svA
Scott Palo    (2026-09-02 21:02:20)
Technical work should be 40-60% of your time.</t>
        </r>
      </text>
    </comment>
    <comment ref="F42" authorId="0" shapeId="0" xr:uid="{00000000-0006-0000-0000-000008000000}">
      <text>
        <r>
          <rPr>
            <sz val="10"/>
            <color rgb="FF000000"/>
            <rFont val="Calibri"/>
            <scheme val="minor"/>
          </rPr>
          <t>======
ID#AAACGTV1svY
Scott Palo    (2026-09-02 21:02:20)
You should be targeting an average of 15 hours per week with a maximum of 20 hours in any given week.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euEX7pY4IACU0Dz4Z5SEXQDVMOA=="/>
    </ext>
  </extLst>
</comments>
</file>

<file path=xl/sharedStrings.xml><?xml version="1.0" encoding="utf-8"?>
<sst xmlns="http://schemas.openxmlformats.org/spreadsheetml/2006/main" count="111" uniqueCount="65">
  <si>
    <t>Total Hours</t>
  </si>
  <si>
    <t>Week Start Date</t>
  </si>
  <si>
    <t>Estimated</t>
  </si>
  <si>
    <t>Total
Actual</t>
  </si>
  <si>
    <t>Status</t>
  </si>
  <si>
    <t>Comment</t>
  </si>
  <si>
    <t>Legend</t>
  </si>
  <si>
    <t>Class &amp; Meetings</t>
  </si>
  <si>
    <r>
      <rPr>
        <sz val="10"/>
        <color rgb="FF000000"/>
        <rFont val="Lato, Arial"/>
      </rPr>
      <t>Baseline (</t>
    </r>
    <r>
      <rPr>
        <b/>
        <sz val="10"/>
        <color rgb="FF000000"/>
        <rFont val="Lato, Arial"/>
      </rPr>
      <t>DO NOT CHANGE)</t>
    </r>
  </si>
  <si>
    <t>#</t>
  </si>
  <si>
    <t>Class</t>
  </si>
  <si>
    <t>Not Started</t>
  </si>
  <si>
    <t>Re-Baseline</t>
  </si>
  <si>
    <t>Rebaselining requires approval of Prof Palo</t>
  </si>
  <si>
    <t>Lecture</t>
  </si>
  <si>
    <t>Ontime (In Progress)</t>
  </si>
  <si>
    <t>Complete</t>
  </si>
  <si>
    <t># incidicates # of hrs worked</t>
  </si>
  <si>
    <t>Lab</t>
  </si>
  <si>
    <t>Completed early</t>
  </si>
  <si>
    <t>Meetings</t>
  </si>
  <si>
    <t>Late</t>
  </si>
  <si>
    <t>Very Late</t>
  </si>
  <si>
    <t>Full Team Mtg</t>
  </si>
  <si>
    <t>Subsys Meeting</t>
  </si>
  <si>
    <t>Project Prep</t>
  </si>
  <si>
    <t>Complete Paperwork</t>
  </si>
  <si>
    <t>Completed</t>
  </si>
  <si>
    <t>Read Documents</t>
  </si>
  <si>
    <t>Early</t>
  </si>
  <si>
    <t>Reviews</t>
  </si>
  <si>
    <t>Ontime and in progress</t>
  </si>
  <si>
    <t>Ontime</t>
  </si>
  <si>
    <t>Mid Sem Review</t>
  </si>
  <si>
    <t>Late &amp; Completed</t>
  </si>
  <si>
    <t>Late &lt;1wk</t>
  </si>
  <si>
    <t>EOS Review</t>
  </si>
  <si>
    <t>Late &gt;1wk</t>
  </si>
  <si>
    <t>Documentation</t>
  </si>
  <si>
    <t>Semester Planning</t>
  </si>
  <si>
    <t>Notes</t>
  </si>
  <si>
    <t>SOW</t>
  </si>
  <si>
    <t>If a task gets removed, use strikeout (alt+shift+5) so that it is still visible</t>
  </si>
  <si>
    <t>Personal Plan</t>
  </si>
  <si>
    <t>Weekly Reporting</t>
  </si>
  <si>
    <t>If a task gets rebaselined just add a RB square but also leave the original baseline marker</t>
  </si>
  <si>
    <t>Quadcharts</t>
  </si>
  <si>
    <t>Review Prep</t>
  </si>
  <si>
    <t>Final Report</t>
  </si>
  <si>
    <t>Draft</t>
  </si>
  <si>
    <t>Technical</t>
  </si>
  <si>
    <t>Hydra Lithium Communication</t>
  </si>
  <si>
    <t>Re Running MCT</t>
  </si>
  <si>
    <t>Re Running SCT 1</t>
  </si>
  <si>
    <t>Ground Station PC Architecture</t>
  </si>
  <si>
    <t>Transferring HFSS to new 443 machine</t>
  </si>
  <si>
    <t>Installing temp GND station setup to machine</t>
  </si>
  <si>
    <t>Planning final GND station architecture</t>
  </si>
  <si>
    <t>Running SCT-2</t>
  </si>
  <si>
    <t>Reverify Hydra-Li Comms</t>
  </si>
  <si>
    <t>Reverify GND station setup</t>
  </si>
  <si>
    <t>Testing and troubleshooting</t>
  </si>
  <si>
    <t>TOTALS:</t>
  </si>
  <si>
    <t>Target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</si>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</sst>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/&quot;d"/>
  </numFmts>
  <fonts count="17">
    <font>
      <sz val="10"/>
      <color rgb="FF000000"/>
      <name val="Calibri"/>
      <scheme val="minor"/>
    </font>
    <font>
      <sz val="10"/>
      <color theme="1"/>
      <name val="Calibri"/>
    </font>
    <font>
      <sz val="10"/>
      <name val="Calibri"/>
    </font>
    <font>
      <b/>
      <sz val="10"/>
      <color theme="1"/>
      <name val="Lato"/>
    </font>
    <font>
      <b/>
      <sz val="11"/>
      <color theme="1"/>
      <name val="Lato"/>
    </font>
    <font>
      <sz val="10"/>
      <color theme="1"/>
      <name val="Arial"/>
    </font>
    <font>
      <sz val="10"/>
      <color rgb="FF000000"/>
      <name val="Lato"/>
    </font>
    <font>
      <sz val="10"/>
      <color theme="1"/>
      <name val="Lato"/>
    </font>
    <font>
      <sz val="10"/>
      <color rgb="FF000000"/>
      <name val="Arial"/>
    </font>
    <font>
      <sz val="11"/>
      <color rgb="FF000000"/>
      <name val="Lato"/>
    </font>
    <font>
      <sz val="10"/>
      <color rgb="FF000000"/>
      <name val="Calibri"/>
    </font>
    <font>
      <sz val="11"/>
      <color theme="1"/>
      <name val="Lato"/>
    </font>
    <font>
      <b/>
      <sz val="12"/>
      <color theme="1"/>
      <name val="Calibri"/>
    </font>
    <font>
      <sz val="10"/>
      <color theme="1"/>
      <name val="Calibri"/>
      <scheme val="minor"/>
    </font>
    <font>
      <b/>
      <sz val="10"/>
      <color theme="1"/>
      <name val="Calibri"/>
    </font>
    <font>
      <sz val="10"/>
      <color rgb="FF000000"/>
      <name val="Lato, Arial"/>
    </font>
    <font>
      <b/>
      <sz val="10"/>
      <color rgb="FF000000"/>
      <name val="Lato, Arial"/>
    </font>
  </fonts>
  <fills count="1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A6A6A6"/>
        <bgColor rgb="FFA6A6A6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7F7F7F"/>
        <bgColor rgb="FF7F7F7F"/>
      </patternFill>
    </fill>
    <fill>
      <patternFill patternType="solid">
        <fgColor rgb="FFB7E1CD"/>
        <bgColor rgb="FFB7E1CD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</fills>
  <borders count="34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n">
        <color rgb="FFA6A6A6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A6A6A6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thin">
        <color rgb="FFA6A6A6"/>
      </left>
      <right/>
      <top/>
      <bottom style="medium">
        <color rgb="FF000000"/>
      </bottom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5" fillId="0" borderId="4" xfId="0" applyFont="1" applyBorder="1"/>
    <xf numFmtId="0" fontId="5" fillId="0" borderId="0" xfId="0" applyFont="1"/>
    <xf numFmtId="0" fontId="4" fillId="2" borderId="5" xfId="0" applyFont="1" applyFill="1" applyBorder="1" applyAlignment="1">
      <alignment horizontal="center" wrapText="1"/>
    </xf>
    <xf numFmtId="164" fontId="4" fillId="3" borderId="6" xfId="0" applyNumberFormat="1" applyFont="1" applyFill="1" applyBorder="1" applyAlignment="1">
      <alignment horizontal="center" wrapText="1"/>
    </xf>
    <xf numFmtId="164" fontId="4" fillId="3" borderId="7" xfId="0" applyNumberFormat="1" applyFont="1" applyFill="1" applyBorder="1" applyAlignment="1">
      <alignment horizontal="center"/>
    </xf>
    <xf numFmtId="164" fontId="4" fillId="4" borderId="8" xfId="0" applyNumberFormat="1" applyFont="1" applyFill="1" applyBorder="1" applyAlignment="1">
      <alignment horizontal="center"/>
    </xf>
    <xf numFmtId="164" fontId="4" fillId="5" borderId="7" xfId="0" applyNumberFormat="1" applyFont="1" applyFill="1" applyBorder="1" applyAlignment="1">
      <alignment horizontal="center"/>
    </xf>
    <xf numFmtId="164" fontId="4" fillId="5" borderId="7" xfId="0" applyNumberFormat="1" applyFont="1" applyFill="1" applyBorder="1" applyAlignment="1">
      <alignment horizontal="center" wrapText="1"/>
    </xf>
    <xf numFmtId="164" fontId="4" fillId="0" borderId="7" xfId="0" applyNumberFormat="1" applyFont="1" applyBorder="1" applyAlignment="1">
      <alignment horizontal="center" wrapText="1"/>
    </xf>
    <xf numFmtId="164" fontId="4" fillId="6" borderId="7" xfId="0" applyNumberFormat="1" applyFont="1" applyFill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9" fontId="4" fillId="7" borderId="10" xfId="0" applyNumberFormat="1" applyFont="1" applyFill="1" applyBorder="1" applyAlignment="1">
      <alignment wrapText="1"/>
    </xf>
    <xf numFmtId="0" fontId="4" fillId="7" borderId="10" xfId="0" applyFont="1" applyFill="1" applyBorder="1" applyAlignment="1">
      <alignment wrapText="1"/>
    </xf>
    <xf numFmtId="0" fontId="6" fillId="8" borderId="11" xfId="0" applyFont="1" applyFill="1" applyBorder="1" applyAlignment="1">
      <alignment horizontal="center" vertical="center"/>
    </xf>
    <xf numFmtId="0" fontId="5" fillId="7" borderId="5" xfId="0" applyFont="1" applyFill="1" applyBorder="1"/>
    <xf numFmtId="0" fontId="5" fillId="7" borderId="12" xfId="0" applyFont="1" applyFill="1" applyBorder="1"/>
    <xf numFmtId="0" fontId="6" fillId="0" borderId="13" xfId="0" applyFont="1" applyBorder="1" applyAlignment="1">
      <alignment wrapText="1"/>
    </xf>
    <xf numFmtId="0" fontId="6" fillId="9" borderId="14" xfId="0" applyFont="1" applyFill="1" applyBorder="1" applyAlignment="1">
      <alignment horizontal="center"/>
    </xf>
    <xf numFmtId="0" fontId="7" fillId="0" borderId="0" xfId="0" applyFont="1"/>
    <xf numFmtId="0" fontId="5" fillId="0" borderId="0" xfId="0" applyFont="1" applyAlignment="1">
      <alignment horizontal="center" vertical="center"/>
    </xf>
    <xf numFmtId="0" fontId="6" fillId="0" borderId="15" xfId="0" applyFont="1" applyBorder="1" applyAlignment="1">
      <alignment wrapText="1"/>
    </xf>
    <xf numFmtId="0" fontId="6" fillId="2" borderId="16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6" fillId="0" borderId="17" xfId="0" applyFont="1" applyBorder="1" applyAlignment="1">
      <alignment wrapText="1"/>
    </xf>
    <xf numFmtId="0" fontId="7" fillId="13" borderId="15" xfId="0" applyFont="1" applyFill="1" applyBorder="1" applyAlignment="1">
      <alignment horizontal="center"/>
    </xf>
    <xf numFmtId="0" fontId="5" fillId="2" borderId="18" xfId="0" applyFont="1" applyFill="1" applyBorder="1"/>
    <xf numFmtId="0" fontId="5" fillId="2" borderId="5" xfId="0" applyFont="1" applyFill="1" applyBorder="1"/>
    <xf numFmtId="0" fontId="8" fillId="10" borderId="5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/>
    </xf>
    <xf numFmtId="0" fontId="5" fillId="11" borderId="20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/>
    </xf>
    <xf numFmtId="0" fontId="6" fillId="15" borderId="15" xfId="0" applyFont="1" applyFill="1" applyBorder="1" applyAlignment="1">
      <alignment horizont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7" fillId="7" borderId="15" xfId="0" applyFont="1" applyFill="1" applyBorder="1" applyAlignment="1">
      <alignment horizontal="center"/>
    </xf>
    <xf numFmtId="0" fontId="7" fillId="0" borderId="15" xfId="0" applyFont="1" applyBorder="1"/>
    <xf numFmtId="0" fontId="6" fillId="14" borderId="15" xfId="0" applyFont="1" applyFill="1" applyBorder="1" applyAlignment="1">
      <alignment horizontal="center"/>
    </xf>
    <xf numFmtId="0" fontId="6" fillId="16" borderId="15" xfId="0" applyFont="1" applyFill="1" applyBorder="1" applyAlignment="1">
      <alignment horizontal="center"/>
    </xf>
    <xf numFmtId="0" fontId="6" fillId="9" borderId="5" xfId="0" applyFont="1" applyFill="1" applyBorder="1" applyAlignment="1">
      <alignment horizontal="center"/>
    </xf>
    <xf numFmtId="0" fontId="5" fillId="7" borderId="21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22" xfId="0" applyFont="1" applyFill="1" applyBorder="1"/>
    <xf numFmtId="0" fontId="5" fillId="0" borderId="23" xfId="0" applyFont="1" applyBorder="1"/>
    <xf numFmtId="0" fontId="13" fillId="0" borderId="0" xfId="0" applyFont="1"/>
    <xf numFmtId="0" fontId="5" fillId="2" borderId="28" xfId="0" applyFont="1" applyFill="1" applyBorder="1"/>
    <xf numFmtId="0" fontId="9" fillId="7" borderId="29" xfId="0" applyFont="1" applyFill="1" applyBorder="1" applyAlignment="1">
      <alignment horizontal="center" vertical="center"/>
    </xf>
    <xf numFmtId="0" fontId="5" fillId="11" borderId="30" xfId="0" applyFont="1" applyFill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/>
    <xf numFmtId="0" fontId="10" fillId="0" borderId="0" xfId="0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wrapText="1"/>
    </xf>
    <xf numFmtId="0" fontId="1" fillId="0" borderId="0" xfId="0" applyFont="1"/>
    <xf numFmtId="0" fontId="4" fillId="0" borderId="12" xfId="0" applyFont="1" applyBorder="1" applyAlignment="1">
      <alignment horizontal="center" wrapText="1"/>
    </xf>
    <xf numFmtId="0" fontId="5" fillId="7" borderId="19" xfId="0" applyFont="1" applyFill="1" applyBorder="1" applyAlignment="1">
      <alignment horizontal="center"/>
    </xf>
    <xf numFmtId="0" fontId="8" fillId="10" borderId="30" xfId="0" applyFont="1" applyFill="1" applyBorder="1" applyAlignment="1">
      <alignment horizontal="center"/>
    </xf>
    <xf numFmtId="0" fontId="6" fillId="8" borderId="30" xfId="0" applyFont="1" applyFill="1" applyBorder="1" applyAlignment="1">
      <alignment horizontal="center" vertical="center"/>
    </xf>
    <xf numFmtId="0" fontId="5" fillId="2" borderId="30" xfId="0" applyFont="1" applyFill="1" applyBorder="1"/>
    <xf numFmtId="0" fontId="5" fillId="0" borderId="20" xfId="0" applyFont="1" applyBorder="1" applyAlignment="1">
      <alignment horizontal="center" vertical="center"/>
    </xf>
    <xf numFmtId="0" fontId="5" fillId="12" borderId="30" xfId="0" applyFont="1" applyFill="1" applyBorder="1" applyAlignment="1">
      <alignment horizontal="center" vertical="center"/>
    </xf>
    <xf numFmtId="0" fontId="11" fillId="0" borderId="5" xfId="0" applyFont="1" applyBorder="1"/>
    <xf numFmtId="0" fontId="5" fillId="0" borderId="5" xfId="0" applyFont="1" applyBorder="1" applyAlignment="1">
      <alignment horizontal="center" vertical="center"/>
    </xf>
    <xf numFmtId="0" fontId="6" fillId="9" borderId="30" xfId="0" applyFont="1" applyFill="1" applyBorder="1" applyAlignment="1">
      <alignment horizontal="center"/>
    </xf>
    <xf numFmtId="0" fontId="9" fillId="7" borderId="29" xfId="0" applyFont="1" applyFill="1" applyBorder="1" applyAlignment="1">
      <alignment horizontal="center" vertical="center" wrapText="1"/>
    </xf>
    <xf numFmtId="0" fontId="13" fillId="0" borderId="5" xfId="0" applyFont="1" applyBorder="1"/>
    <xf numFmtId="0" fontId="1" fillId="0" borderId="20" xfId="0" applyFont="1" applyBorder="1" applyAlignment="1">
      <alignment horizontal="center"/>
    </xf>
    <xf numFmtId="0" fontId="1" fillId="0" borderId="20" xfId="0" applyFont="1" applyBorder="1"/>
    <xf numFmtId="0" fontId="12" fillId="0" borderId="0" xfId="0" applyFont="1" applyAlignment="1">
      <alignment horizontal="center"/>
    </xf>
    <xf numFmtId="0" fontId="3" fillId="0" borderId="24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/>
    </xf>
    <xf numFmtId="0" fontId="12" fillId="0" borderId="3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8" xfId="0" applyFont="1" applyBorder="1" applyAlignment="1">
      <alignment wrapText="1"/>
    </xf>
    <xf numFmtId="0" fontId="4" fillId="7" borderId="9" xfId="0" applyFont="1" applyFill="1" applyBorder="1" applyAlignment="1">
      <alignment horizontal="center" wrapText="1"/>
    </xf>
    <xf numFmtId="0" fontId="1" fillId="0" borderId="1" xfId="0" applyFont="1" applyBorder="1" applyAlignment="1"/>
    <xf numFmtId="0" fontId="2" fillId="0" borderId="2" xfId="0" applyFont="1" applyBorder="1" applyAlignment="1"/>
    <xf numFmtId="0" fontId="2" fillId="0" borderId="5" xfId="0" applyFont="1" applyBorder="1" applyAlignment="1"/>
    <xf numFmtId="0" fontId="2" fillId="0" borderId="10" xfId="0" applyFont="1" applyBorder="1" applyAlignment="1"/>
    <xf numFmtId="0" fontId="4" fillId="0" borderId="0" xfId="0" applyFont="1" applyAlignment="1"/>
    <xf numFmtId="0" fontId="0" fillId="0" borderId="0" xfId="0" applyAlignment="1"/>
    <xf numFmtId="0" fontId="2" fillId="0" borderId="25" xfId="0" applyFont="1" applyBorder="1" applyAlignment="1"/>
    <xf numFmtId="0" fontId="2" fillId="0" borderId="26" xfId="0" applyFont="1" applyBorder="1" applyAlignment="1"/>
    <xf numFmtId="0" fontId="2" fillId="0" borderId="27" xfId="0" applyFont="1" applyBorder="1" applyAlignment="1"/>
    <xf numFmtId="0" fontId="2" fillId="0" borderId="32" xfId="0" applyFont="1" applyBorder="1" applyAlignment="1"/>
  </cellXfs>
  <cellStyles count="1">
    <cellStyle name="Normal" xfId="0" builtinId="0"/>
  </cellStyles>
  <dxfs count="112">
    <dxf>
      <font>
        <color rgb="FFF3F3F3"/>
      </font>
      <fill>
        <patternFill patternType="none"/>
      </fill>
    </dxf>
    <dxf>
      <font>
        <color rgb="FFF3F3F3"/>
      </font>
      <fill>
        <patternFill patternType="none"/>
      </fill>
    </dxf>
    <dxf>
      <font>
        <color rgb="FFF3F3F3"/>
      </font>
      <fill>
        <patternFill patternType="none"/>
      </fill>
    </dxf>
    <dxf>
      <font>
        <color rgb="FFF3F3F3"/>
      </font>
      <fill>
        <patternFill patternType="none"/>
      </fill>
    </dxf>
    <dxf>
      <font>
        <color rgb="FFF3F3F3"/>
      </font>
      <fill>
        <patternFill patternType="none"/>
      </fill>
    </dxf>
    <dxf>
      <font>
        <color rgb="FFF3F3F3"/>
      </font>
      <fill>
        <patternFill patternType="none"/>
      </fill>
    </dxf>
    <dxf>
      <font>
        <color rgb="FFF3F3F3"/>
      </font>
      <fill>
        <patternFill patternType="none"/>
      </fill>
    </dxf>
    <dxf>
      <font>
        <color rgb="FFF3F3F3"/>
      </font>
      <fill>
        <patternFill patternType="none"/>
      </fill>
    </dxf>
    <dxf>
      <font>
        <color rgb="FFF3F3F3"/>
      </font>
      <fill>
        <patternFill patternType="none"/>
      </fill>
    </dxf>
    <dxf>
      <font>
        <color rgb="FFF3F3F3"/>
      </font>
      <fill>
        <patternFill patternType="none"/>
      </fill>
    </dxf>
    <dxf>
      <font>
        <color rgb="FFF3F3F3"/>
      </font>
      <fill>
        <patternFill patternType="none"/>
      </fill>
    </dxf>
    <dxf>
      <font>
        <color rgb="FFF3F3F3"/>
      </font>
      <fill>
        <patternFill patternType="none"/>
      </fill>
    </dxf>
    <dxf>
      <font>
        <color rgb="FFF3F3F3"/>
      </font>
      <fill>
        <patternFill patternType="none"/>
      </fill>
    </dxf>
    <dxf>
      <font>
        <color rgb="FFEFEFEF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3F3F3"/>
      </font>
      <fill>
        <patternFill patternType="none"/>
      </fill>
    </dxf>
    <dxf>
      <font>
        <color rgb="FFB7B7B7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57BB8A"/>
          <bgColor rgb="FF57BB8A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B7B7B7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57BB8A"/>
          <bgColor rgb="FF57BB8A"/>
        </patternFill>
      </fill>
    </dxf>
    <dxf>
      <font>
        <color rgb="FFB7B7B7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57BB8A"/>
          <bgColor rgb="FF57BB8A"/>
        </patternFill>
      </fill>
    </dxf>
    <dxf>
      <font>
        <color rgb="FFEFEFEF"/>
      </font>
      <fill>
        <patternFill patternType="none"/>
      </fill>
    </dxf>
    <dxf>
      <font>
        <color rgb="FFEFEFEF"/>
      </font>
      <fill>
        <patternFill patternType="none"/>
      </fill>
    </dxf>
    <dxf>
      <font>
        <color rgb="FFEFEFEF"/>
      </font>
      <fill>
        <patternFill patternType="none"/>
      </fill>
    </dxf>
    <dxf>
      <font>
        <color rgb="FFEFEFEF"/>
      </font>
      <fill>
        <patternFill patternType="none"/>
      </fill>
    </dxf>
    <dxf>
      <font>
        <color rgb="FFB7B7B7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3F3F3"/>
      </font>
      <fill>
        <patternFill patternType="none"/>
      </fill>
    </dxf>
    <dxf>
      <font>
        <color rgb="FFB7B7B7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3F3F3"/>
      </font>
      <fill>
        <patternFill patternType="none"/>
      </fill>
    </dxf>
    <dxf>
      <font>
        <color rgb="FFB7B7B7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3F3F3"/>
      </font>
      <fill>
        <patternFill patternType="none"/>
      </fill>
    </dxf>
    <dxf>
      <font>
        <color rgb="FFB7B7B7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3F3F3"/>
      </font>
      <fill>
        <patternFill patternType="none"/>
      </fill>
    </dxf>
    <dxf>
      <font>
        <color rgb="FFB7B7B7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3F3F3"/>
      </font>
      <fill>
        <patternFill patternType="none"/>
      </fill>
    </dxf>
    <dxf>
      <font>
        <color rgb="FFB7B7B7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57BB8A"/>
          <bgColor rgb="FF57BB8A"/>
        </patternFill>
      </fill>
    </dxf>
    <dxf>
      <font>
        <color rgb="FFFFFFFF"/>
      </font>
      <fill>
        <patternFill patternType="none"/>
      </fill>
    </dxf>
    <dxf>
      <font>
        <color rgb="FFEFEFE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90"/>
  <sheetViews>
    <sheetView tabSelected="1" workbookViewId="0">
      <pane ySplit="2" topLeftCell="A3" activePane="bottomLeft" state="frozen"/>
      <selection pane="bottomLeft" activeCell="H23" sqref="H23"/>
    </sheetView>
  </sheetViews>
  <sheetFormatPr defaultColWidth="14.42578125" defaultRowHeight="15" customHeight="1"/>
  <cols>
    <col min="1" max="1" width="13" customWidth="1"/>
    <col min="2" max="2" width="15.28515625" customWidth="1"/>
    <col min="3" max="3" width="44" customWidth="1"/>
    <col min="4" max="5" width="12.28515625" customWidth="1"/>
    <col min="6" max="23" width="8.7109375" customWidth="1"/>
    <col min="24" max="24" width="21.7109375" customWidth="1"/>
    <col min="25" max="25" width="56" customWidth="1"/>
    <col min="26" max="26" width="25.7109375" customWidth="1"/>
    <col min="27" max="27" width="12.28515625" customWidth="1"/>
    <col min="28" max="28" width="27.140625" customWidth="1"/>
  </cols>
  <sheetData>
    <row r="1" spans="1:28" ht="18.75" customHeight="1">
      <c r="A1" s="83"/>
      <c r="B1" s="84"/>
      <c r="C1" s="84"/>
      <c r="D1" s="79" t="s">
        <v>0</v>
      </c>
      <c r="E1" s="84"/>
      <c r="F1" s="80" t="s">
        <v>1</v>
      </c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1"/>
      <c r="Y1" s="2"/>
      <c r="Z1" s="2"/>
      <c r="AA1" s="2"/>
      <c r="AB1" s="2"/>
    </row>
    <row r="2" spans="1:28" ht="18.75" customHeight="1">
      <c r="A2" s="81"/>
      <c r="B2" s="85"/>
      <c r="C2" s="85"/>
      <c r="D2" s="3" t="s">
        <v>2</v>
      </c>
      <c r="E2" s="3" t="s">
        <v>3</v>
      </c>
      <c r="F2" s="4">
        <v>46258</v>
      </c>
      <c r="G2" s="5">
        <f t="shared" ref="G2:V2" si="0">F2+7</f>
        <v>46265</v>
      </c>
      <c r="H2" s="6">
        <f t="shared" si="0"/>
        <v>46272</v>
      </c>
      <c r="I2" s="7">
        <f t="shared" si="0"/>
        <v>46279</v>
      </c>
      <c r="J2" s="8">
        <f t="shared" si="0"/>
        <v>46286</v>
      </c>
      <c r="K2" s="9">
        <f t="shared" si="0"/>
        <v>46293</v>
      </c>
      <c r="L2" s="8">
        <f t="shared" si="0"/>
        <v>46300</v>
      </c>
      <c r="M2" s="10">
        <f t="shared" si="0"/>
        <v>46307</v>
      </c>
      <c r="N2" s="8">
        <f t="shared" si="0"/>
        <v>46314</v>
      </c>
      <c r="O2" s="8">
        <f t="shared" si="0"/>
        <v>46321</v>
      </c>
      <c r="P2" s="10">
        <f t="shared" si="0"/>
        <v>46328</v>
      </c>
      <c r="Q2" s="8">
        <f t="shared" si="0"/>
        <v>46335</v>
      </c>
      <c r="R2" s="9">
        <f t="shared" si="0"/>
        <v>46342</v>
      </c>
      <c r="S2" s="9">
        <f t="shared" si="0"/>
        <v>46349</v>
      </c>
      <c r="T2" s="9">
        <f t="shared" si="0"/>
        <v>46356</v>
      </c>
      <c r="U2" s="10">
        <f t="shared" si="0"/>
        <v>46363</v>
      </c>
      <c r="V2" s="10">
        <f t="shared" si="0"/>
        <v>46370</v>
      </c>
      <c r="W2" s="9"/>
      <c r="X2" s="60" t="s">
        <v>4</v>
      </c>
      <c r="Y2" s="11" t="s">
        <v>5</v>
      </c>
      <c r="Z2" s="11" t="s">
        <v>6</v>
      </c>
      <c r="AA2" s="12"/>
      <c r="AB2" s="12"/>
    </row>
    <row r="3" spans="1:28" ht="18.75" customHeight="1">
      <c r="A3" s="82" t="s">
        <v>7</v>
      </c>
      <c r="B3" s="86"/>
      <c r="C3" s="13">
        <f>D3/$D$41</f>
        <v>0.34934497816593885</v>
      </c>
      <c r="D3" s="14">
        <f>D4+D7+D11+D14</f>
        <v>80</v>
      </c>
      <c r="E3" s="15">
        <f t="shared" ref="E3:E40" si="1">SUM(F3:W3)</f>
        <v>26</v>
      </c>
      <c r="F3" s="61">
        <f t="shared" ref="F3:V3" si="2">F4+F7+F11+F14</f>
        <v>14</v>
      </c>
      <c r="G3" s="61">
        <f t="shared" si="2"/>
        <v>8</v>
      </c>
      <c r="H3" s="61">
        <f t="shared" si="2"/>
        <v>4</v>
      </c>
      <c r="I3" s="61">
        <f t="shared" si="2"/>
        <v>0</v>
      </c>
      <c r="J3" s="61">
        <f t="shared" si="2"/>
        <v>0</v>
      </c>
      <c r="K3" s="61">
        <f t="shared" si="2"/>
        <v>0</v>
      </c>
      <c r="L3" s="61">
        <f t="shared" si="2"/>
        <v>0</v>
      </c>
      <c r="M3" s="61">
        <f t="shared" si="2"/>
        <v>0</v>
      </c>
      <c r="N3" s="61">
        <f t="shared" si="2"/>
        <v>0</v>
      </c>
      <c r="O3" s="61">
        <f t="shared" si="2"/>
        <v>0</v>
      </c>
      <c r="P3" s="61">
        <f t="shared" si="2"/>
        <v>0</v>
      </c>
      <c r="Q3" s="61">
        <f t="shared" si="2"/>
        <v>0</v>
      </c>
      <c r="R3" s="61">
        <f t="shared" si="2"/>
        <v>0</v>
      </c>
      <c r="S3" s="61">
        <f t="shared" si="2"/>
        <v>0</v>
      </c>
      <c r="T3" s="61">
        <f t="shared" si="2"/>
        <v>0</v>
      </c>
      <c r="U3" s="61">
        <f t="shared" si="2"/>
        <v>0</v>
      </c>
      <c r="V3" s="61">
        <f t="shared" si="2"/>
        <v>0</v>
      </c>
      <c r="W3" s="16"/>
      <c r="X3" s="17"/>
      <c r="Y3" s="2"/>
      <c r="Z3" s="18" t="s">
        <v>8</v>
      </c>
      <c r="AA3" s="19" t="s">
        <v>9</v>
      </c>
      <c r="AB3" s="20"/>
    </row>
    <row r="4" spans="1:28" ht="18.75" customHeight="1">
      <c r="A4" s="51"/>
      <c r="B4" s="87" t="s">
        <v>10</v>
      </c>
      <c r="C4" s="88"/>
      <c r="D4" s="62">
        <f>SUM(D5:D6)</f>
        <v>35</v>
      </c>
      <c r="E4" s="63">
        <f t="shared" si="1"/>
        <v>6</v>
      </c>
      <c r="F4" s="21">
        <f t="shared" ref="F4:W4" si="3">SUM(F5:F6)</f>
        <v>3</v>
      </c>
      <c r="G4" s="21">
        <f t="shared" si="3"/>
        <v>3</v>
      </c>
      <c r="H4" s="21">
        <f t="shared" si="3"/>
        <v>0</v>
      </c>
      <c r="I4" s="21">
        <f t="shared" si="3"/>
        <v>0</v>
      </c>
      <c r="J4" s="21">
        <f t="shared" si="3"/>
        <v>0</v>
      </c>
      <c r="K4" s="21">
        <f t="shared" si="3"/>
        <v>0</v>
      </c>
      <c r="L4" s="21">
        <f t="shared" si="3"/>
        <v>0</v>
      </c>
      <c r="M4" s="21">
        <f t="shared" si="3"/>
        <v>0</v>
      </c>
      <c r="N4" s="21">
        <f t="shared" si="3"/>
        <v>0</v>
      </c>
      <c r="O4" s="21">
        <f t="shared" si="3"/>
        <v>0</v>
      </c>
      <c r="P4" s="21">
        <f t="shared" si="3"/>
        <v>0</v>
      </c>
      <c r="Q4" s="21">
        <f t="shared" si="3"/>
        <v>0</v>
      </c>
      <c r="R4" s="21">
        <f t="shared" si="3"/>
        <v>0</v>
      </c>
      <c r="S4" s="21">
        <f t="shared" si="3"/>
        <v>0</v>
      </c>
      <c r="T4" s="21">
        <f t="shared" si="3"/>
        <v>0</v>
      </c>
      <c r="U4" s="21">
        <f t="shared" si="3"/>
        <v>0</v>
      </c>
      <c r="V4" s="53">
        <f t="shared" si="3"/>
        <v>0</v>
      </c>
      <c r="W4" s="53">
        <f t="shared" si="3"/>
        <v>0</v>
      </c>
      <c r="X4" s="52" t="s">
        <v>11</v>
      </c>
      <c r="Y4" s="2"/>
      <c r="Z4" s="22" t="s">
        <v>12</v>
      </c>
      <c r="AA4" s="23" t="s">
        <v>9</v>
      </c>
      <c r="AB4" s="24" t="s">
        <v>13</v>
      </c>
    </row>
    <row r="5" spans="1:28" ht="18.75" customHeight="1">
      <c r="A5" s="51"/>
      <c r="B5" s="64"/>
      <c r="C5" s="25" t="s">
        <v>14</v>
      </c>
      <c r="D5" s="62">
        <v>15</v>
      </c>
      <c r="E5" s="63">
        <f t="shared" si="1"/>
        <v>2</v>
      </c>
      <c r="F5" s="65">
        <v>1</v>
      </c>
      <c r="G5" s="21">
        <v>1</v>
      </c>
      <c r="H5" s="21"/>
      <c r="I5" s="21"/>
      <c r="J5" s="21"/>
      <c r="K5" s="21"/>
      <c r="L5" s="21"/>
      <c r="M5" s="21"/>
      <c r="N5" s="21"/>
      <c r="O5" s="21"/>
      <c r="P5" s="66"/>
      <c r="Q5" s="21"/>
      <c r="R5" s="21"/>
      <c r="S5" s="21"/>
      <c r="T5" s="21"/>
      <c r="U5" s="21"/>
      <c r="V5" s="21"/>
      <c r="W5" s="21"/>
      <c r="X5" s="52" t="s">
        <v>15</v>
      </c>
      <c r="Y5" s="2"/>
      <c r="Z5" s="26" t="s">
        <v>16</v>
      </c>
      <c r="AA5" s="27" t="s">
        <v>9</v>
      </c>
      <c r="AB5" s="20" t="s">
        <v>17</v>
      </c>
    </row>
    <row r="6" spans="1:28" ht="18.75" customHeight="1">
      <c r="A6" s="28"/>
      <c r="B6" s="29"/>
      <c r="C6" s="67" t="s">
        <v>18</v>
      </c>
      <c r="D6" s="30">
        <v>20</v>
      </c>
      <c r="E6" s="31">
        <f t="shared" si="1"/>
        <v>4</v>
      </c>
      <c r="F6" s="32">
        <v>2</v>
      </c>
      <c r="G6" s="68">
        <v>2</v>
      </c>
      <c r="H6" s="68"/>
      <c r="I6" s="68"/>
      <c r="J6" s="68"/>
      <c r="K6" s="68"/>
      <c r="L6" s="68"/>
      <c r="M6" s="68"/>
      <c r="N6" s="68"/>
      <c r="O6" s="68"/>
      <c r="P6" s="33"/>
      <c r="Q6" s="68"/>
      <c r="R6" s="68"/>
      <c r="S6" s="68"/>
      <c r="T6" s="68"/>
      <c r="U6" s="68"/>
      <c r="V6" s="68"/>
      <c r="W6" s="68"/>
      <c r="X6" s="34" t="s">
        <v>15</v>
      </c>
      <c r="Y6" s="2"/>
      <c r="Z6" s="22" t="s">
        <v>19</v>
      </c>
      <c r="AA6" s="35" t="s">
        <v>9</v>
      </c>
      <c r="AB6" s="2"/>
    </row>
    <row r="7" spans="1:28" ht="18.75" customHeight="1">
      <c r="A7" s="51"/>
      <c r="B7" s="87" t="s">
        <v>20</v>
      </c>
      <c r="C7" s="88"/>
      <c r="D7" s="62">
        <f>SUM(D8:D10)</f>
        <v>26</v>
      </c>
      <c r="E7" s="63">
        <f t="shared" si="1"/>
        <v>7</v>
      </c>
      <c r="F7" s="36">
        <f t="shared" ref="F7:W7" si="4">SUM(F8:F10)</f>
        <v>4</v>
      </c>
      <c r="G7" s="36">
        <f t="shared" si="4"/>
        <v>3</v>
      </c>
      <c r="H7" s="36">
        <f t="shared" si="4"/>
        <v>0</v>
      </c>
      <c r="I7" s="36">
        <f t="shared" si="4"/>
        <v>0</v>
      </c>
      <c r="J7" s="36">
        <f t="shared" si="4"/>
        <v>0</v>
      </c>
      <c r="K7" s="36">
        <f t="shared" si="4"/>
        <v>0</v>
      </c>
      <c r="L7" s="36">
        <f t="shared" si="4"/>
        <v>0</v>
      </c>
      <c r="M7" s="36">
        <f t="shared" si="4"/>
        <v>0</v>
      </c>
      <c r="N7" s="36">
        <f t="shared" si="4"/>
        <v>0</v>
      </c>
      <c r="O7" s="36">
        <f t="shared" si="4"/>
        <v>0</v>
      </c>
      <c r="P7" s="36">
        <f t="shared" si="4"/>
        <v>0</v>
      </c>
      <c r="Q7" s="36">
        <f t="shared" si="4"/>
        <v>0</v>
      </c>
      <c r="R7" s="36">
        <f t="shared" si="4"/>
        <v>0</v>
      </c>
      <c r="S7" s="36">
        <f t="shared" si="4"/>
        <v>0</v>
      </c>
      <c r="T7" s="36">
        <f t="shared" si="4"/>
        <v>0</v>
      </c>
      <c r="U7" s="36">
        <f t="shared" si="4"/>
        <v>0</v>
      </c>
      <c r="V7" s="36">
        <f t="shared" si="4"/>
        <v>0</v>
      </c>
      <c r="W7" s="53">
        <f t="shared" si="4"/>
        <v>0</v>
      </c>
      <c r="X7" s="52" t="s">
        <v>15</v>
      </c>
      <c r="Y7" s="2"/>
      <c r="Z7" s="22" t="s">
        <v>21</v>
      </c>
      <c r="AA7" s="37" t="s">
        <v>9</v>
      </c>
      <c r="AB7" s="2"/>
    </row>
    <row r="8" spans="1:28" ht="18.75" customHeight="1">
      <c r="A8" s="51"/>
      <c r="B8" s="64"/>
      <c r="C8" s="25" t="s">
        <v>18</v>
      </c>
      <c r="D8" s="62">
        <v>9</v>
      </c>
      <c r="E8" s="63">
        <f t="shared" si="1"/>
        <v>2</v>
      </c>
      <c r="F8" s="65">
        <v>1</v>
      </c>
      <c r="G8" s="21">
        <v>1</v>
      </c>
      <c r="H8" s="21"/>
      <c r="I8" s="21"/>
      <c r="J8" s="21"/>
      <c r="K8" s="21"/>
      <c r="L8" s="21"/>
      <c r="M8" s="21"/>
      <c r="N8" s="21"/>
      <c r="O8" s="21"/>
      <c r="P8" s="66"/>
      <c r="Q8" s="21"/>
      <c r="R8" s="21"/>
      <c r="S8" s="21"/>
      <c r="T8" s="21"/>
      <c r="U8" s="21"/>
      <c r="V8" s="21"/>
      <c r="W8" s="21"/>
      <c r="X8" s="52" t="s">
        <v>15</v>
      </c>
      <c r="Y8" s="2"/>
      <c r="Z8" s="22" t="s">
        <v>22</v>
      </c>
      <c r="AA8" s="38" t="s">
        <v>9</v>
      </c>
      <c r="AB8" s="2"/>
    </row>
    <row r="9" spans="1:28" ht="18.75" customHeight="1">
      <c r="A9" s="51"/>
      <c r="B9" s="64"/>
      <c r="C9" s="25" t="s">
        <v>23</v>
      </c>
      <c r="D9" s="62">
        <v>12</v>
      </c>
      <c r="E9" s="63">
        <f t="shared" si="1"/>
        <v>2</v>
      </c>
      <c r="F9" s="65">
        <v>1</v>
      </c>
      <c r="G9" s="21">
        <v>1</v>
      </c>
      <c r="H9" s="21"/>
      <c r="I9" s="21"/>
      <c r="J9" s="21"/>
      <c r="K9" s="21"/>
      <c r="L9" s="21"/>
      <c r="M9" s="21"/>
      <c r="N9" s="21"/>
      <c r="O9" s="21"/>
      <c r="P9" s="66"/>
      <c r="Q9" s="21"/>
      <c r="R9" s="21"/>
      <c r="S9" s="21"/>
      <c r="T9" s="21"/>
      <c r="U9" s="21"/>
      <c r="V9" s="21"/>
      <c r="W9" s="21"/>
      <c r="X9" s="52" t="s">
        <v>15</v>
      </c>
      <c r="Y9" s="2"/>
      <c r="Z9" s="39"/>
      <c r="AA9" s="40"/>
      <c r="AB9" s="2"/>
    </row>
    <row r="10" spans="1:28" ht="18.75" customHeight="1">
      <c r="A10" s="28"/>
      <c r="B10" s="29"/>
      <c r="C10" s="67" t="s">
        <v>24</v>
      </c>
      <c r="D10" s="30">
        <v>5</v>
      </c>
      <c r="E10" s="31">
        <f t="shared" si="1"/>
        <v>3</v>
      </c>
      <c r="F10" s="32">
        <v>2</v>
      </c>
      <c r="G10" s="68">
        <v>1</v>
      </c>
      <c r="H10" s="68"/>
      <c r="I10" s="68"/>
      <c r="J10" s="68"/>
      <c r="K10" s="68"/>
      <c r="L10" s="68"/>
      <c r="M10" s="68"/>
      <c r="N10" s="68"/>
      <c r="O10" s="68"/>
      <c r="P10" s="33"/>
      <c r="Q10" s="68"/>
      <c r="R10" s="68"/>
      <c r="S10" s="68"/>
      <c r="T10" s="68"/>
      <c r="U10" s="68"/>
      <c r="V10" s="68"/>
      <c r="W10" s="68"/>
      <c r="X10" s="34" t="s">
        <v>15</v>
      </c>
      <c r="Y10" s="2"/>
      <c r="Z10" s="39"/>
      <c r="AA10" s="20"/>
      <c r="AB10" s="2"/>
    </row>
    <row r="11" spans="1:28" ht="18.75" customHeight="1">
      <c r="A11" s="51"/>
      <c r="B11" s="87" t="s">
        <v>25</v>
      </c>
      <c r="C11" s="88"/>
      <c r="D11" s="62">
        <f>SUM(D12:D13)</f>
        <v>15</v>
      </c>
      <c r="E11" s="63">
        <f t="shared" si="1"/>
        <v>13</v>
      </c>
      <c r="F11" s="36">
        <f t="shared" ref="F11:W11" si="5">SUM(F12:F13)</f>
        <v>7</v>
      </c>
      <c r="G11" s="36">
        <f t="shared" si="5"/>
        <v>2</v>
      </c>
      <c r="H11" s="36">
        <f t="shared" si="5"/>
        <v>4</v>
      </c>
      <c r="I11" s="36">
        <f t="shared" si="5"/>
        <v>0</v>
      </c>
      <c r="J11" s="36">
        <f t="shared" si="5"/>
        <v>0</v>
      </c>
      <c r="K11" s="36">
        <f t="shared" si="5"/>
        <v>0</v>
      </c>
      <c r="L11" s="36">
        <f t="shared" si="5"/>
        <v>0</v>
      </c>
      <c r="M11" s="36">
        <f t="shared" si="5"/>
        <v>0</v>
      </c>
      <c r="N11" s="36">
        <f t="shared" si="5"/>
        <v>0</v>
      </c>
      <c r="O11" s="36">
        <f t="shared" si="5"/>
        <v>0</v>
      </c>
      <c r="P11" s="36">
        <f t="shared" si="5"/>
        <v>0</v>
      </c>
      <c r="Q11" s="36">
        <f t="shared" si="5"/>
        <v>0</v>
      </c>
      <c r="R11" s="36">
        <f t="shared" si="5"/>
        <v>0</v>
      </c>
      <c r="S11" s="36">
        <f t="shared" si="5"/>
        <v>0</v>
      </c>
      <c r="T11" s="36">
        <f t="shared" si="5"/>
        <v>0</v>
      </c>
      <c r="U11" s="36">
        <f t="shared" si="5"/>
        <v>0</v>
      </c>
      <c r="V11" s="36">
        <f t="shared" si="5"/>
        <v>0</v>
      </c>
      <c r="W11" s="53">
        <f t="shared" si="5"/>
        <v>0</v>
      </c>
      <c r="X11" s="52" t="s">
        <v>11</v>
      </c>
      <c r="Y11" s="2"/>
      <c r="Z11" s="22" t="s">
        <v>11</v>
      </c>
      <c r="AA11" s="41" t="s">
        <v>11</v>
      </c>
      <c r="AB11" s="2"/>
    </row>
    <row r="12" spans="1:28" ht="18.75" customHeight="1">
      <c r="A12" s="51"/>
      <c r="B12" s="64"/>
      <c r="C12" s="25" t="s">
        <v>26</v>
      </c>
      <c r="D12" s="62">
        <v>3</v>
      </c>
      <c r="E12" s="63">
        <f t="shared" si="1"/>
        <v>3</v>
      </c>
      <c r="F12" s="65">
        <v>3</v>
      </c>
      <c r="G12" s="21"/>
      <c r="H12" s="21"/>
      <c r="I12" s="21"/>
      <c r="J12" s="21"/>
      <c r="K12" s="21"/>
      <c r="L12" s="21"/>
      <c r="M12" s="21"/>
      <c r="N12" s="21"/>
      <c r="O12" s="21"/>
      <c r="P12" s="66"/>
      <c r="Q12" s="21"/>
      <c r="R12" s="21"/>
      <c r="S12" s="21"/>
      <c r="T12" s="21"/>
      <c r="U12" s="21"/>
      <c r="V12" s="21"/>
      <c r="W12" s="21"/>
      <c r="X12" s="52" t="s">
        <v>15</v>
      </c>
      <c r="Y12" s="2"/>
      <c r="Z12" s="42" t="s">
        <v>27</v>
      </c>
      <c r="AA12" s="27" t="s">
        <v>16</v>
      </c>
      <c r="AB12" s="2"/>
    </row>
    <row r="13" spans="1:28" ht="18.75" customHeight="1">
      <c r="A13" s="28"/>
      <c r="B13" s="29"/>
      <c r="C13" s="67" t="s">
        <v>28</v>
      </c>
      <c r="D13" s="30">
        <v>12</v>
      </c>
      <c r="E13" s="31">
        <f t="shared" si="1"/>
        <v>10</v>
      </c>
      <c r="F13" s="32">
        <v>4</v>
      </c>
      <c r="G13" s="68">
        <v>2</v>
      </c>
      <c r="H13" s="68">
        <v>4</v>
      </c>
      <c r="I13" s="68"/>
      <c r="J13" s="68"/>
      <c r="K13" s="68"/>
      <c r="L13" s="68"/>
      <c r="M13" s="68"/>
      <c r="N13" s="68"/>
      <c r="O13" s="68"/>
      <c r="P13" s="33"/>
      <c r="Q13" s="68"/>
      <c r="R13" s="68"/>
      <c r="S13" s="68"/>
      <c r="T13" s="68"/>
      <c r="U13" s="68"/>
      <c r="V13" s="68"/>
      <c r="W13" s="68"/>
      <c r="X13" s="34" t="s">
        <v>15</v>
      </c>
      <c r="Y13" s="2"/>
      <c r="Z13" s="22" t="s">
        <v>19</v>
      </c>
      <c r="AA13" s="43" t="s">
        <v>29</v>
      </c>
      <c r="AB13" s="2"/>
    </row>
    <row r="14" spans="1:28" ht="18.75" customHeight="1">
      <c r="A14" s="51"/>
      <c r="B14" s="87" t="s">
        <v>30</v>
      </c>
      <c r="C14" s="88"/>
      <c r="D14" s="62">
        <f>SUM(D15:D16)</f>
        <v>4</v>
      </c>
      <c r="E14" s="63">
        <f t="shared" si="1"/>
        <v>0</v>
      </c>
      <c r="F14" s="36">
        <f t="shared" ref="F14:W14" si="6">SUM(F15:F16)</f>
        <v>0</v>
      </c>
      <c r="G14" s="36">
        <f t="shared" si="6"/>
        <v>0</v>
      </c>
      <c r="H14" s="36">
        <f t="shared" si="6"/>
        <v>0</v>
      </c>
      <c r="I14" s="36">
        <f t="shared" si="6"/>
        <v>0</v>
      </c>
      <c r="J14" s="36">
        <f t="shared" si="6"/>
        <v>0</v>
      </c>
      <c r="K14" s="36">
        <f t="shared" si="6"/>
        <v>0</v>
      </c>
      <c r="L14" s="36">
        <f t="shared" si="6"/>
        <v>0</v>
      </c>
      <c r="M14" s="36">
        <f t="shared" si="6"/>
        <v>0</v>
      </c>
      <c r="N14" s="36">
        <f t="shared" si="6"/>
        <v>0</v>
      </c>
      <c r="O14" s="36">
        <f t="shared" si="6"/>
        <v>0</v>
      </c>
      <c r="P14" s="36">
        <f t="shared" si="6"/>
        <v>0</v>
      </c>
      <c r="Q14" s="36">
        <f t="shared" si="6"/>
        <v>0</v>
      </c>
      <c r="R14" s="36">
        <f t="shared" si="6"/>
        <v>0</v>
      </c>
      <c r="S14" s="36">
        <f t="shared" si="6"/>
        <v>0</v>
      </c>
      <c r="T14" s="36">
        <f t="shared" si="6"/>
        <v>0</v>
      </c>
      <c r="U14" s="36">
        <f t="shared" si="6"/>
        <v>0</v>
      </c>
      <c r="V14" s="36">
        <f t="shared" si="6"/>
        <v>0</v>
      </c>
      <c r="W14" s="53">
        <f t="shared" si="6"/>
        <v>0</v>
      </c>
      <c r="X14" s="52" t="s">
        <v>11</v>
      </c>
      <c r="Y14" s="2"/>
      <c r="Z14" s="22" t="s">
        <v>31</v>
      </c>
      <c r="AA14" s="44" t="s">
        <v>32</v>
      </c>
      <c r="AB14" s="2"/>
    </row>
    <row r="15" spans="1:28" ht="18.75" customHeight="1">
      <c r="A15" s="51"/>
      <c r="B15" s="64"/>
      <c r="C15" s="25" t="s">
        <v>33</v>
      </c>
      <c r="D15" s="62">
        <v>2</v>
      </c>
      <c r="E15" s="63">
        <f t="shared" si="1"/>
        <v>0</v>
      </c>
      <c r="F15" s="65"/>
      <c r="G15" s="21"/>
      <c r="H15" s="21"/>
      <c r="I15" s="21"/>
      <c r="J15" s="21"/>
      <c r="K15" s="21"/>
      <c r="L15" s="21"/>
      <c r="M15" s="69"/>
      <c r="N15" s="21"/>
      <c r="O15" s="23"/>
      <c r="P15" s="66"/>
      <c r="Q15" s="21"/>
      <c r="R15" s="21"/>
      <c r="S15" s="21"/>
      <c r="T15" s="21"/>
      <c r="U15" s="21"/>
      <c r="V15" s="21"/>
      <c r="W15" s="21"/>
      <c r="X15" s="52" t="s">
        <v>34</v>
      </c>
      <c r="Y15" s="2"/>
      <c r="Z15" s="22" t="s">
        <v>35</v>
      </c>
      <c r="AA15" s="37" t="s">
        <v>21</v>
      </c>
      <c r="AB15" s="2"/>
    </row>
    <row r="16" spans="1:28" ht="18.75" customHeight="1">
      <c r="A16" s="28"/>
      <c r="B16" s="29"/>
      <c r="C16" s="67" t="s">
        <v>36</v>
      </c>
      <c r="D16" s="30">
        <v>2</v>
      </c>
      <c r="E16" s="31">
        <f t="shared" si="1"/>
        <v>0</v>
      </c>
      <c r="F16" s="32"/>
      <c r="G16" s="68"/>
      <c r="H16" s="68"/>
      <c r="I16" s="68"/>
      <c r="J16" s="68"/>
      <c r="K16" s="68"/>
      <c r="L16" s="68"/>
      <c r="M16" s="68"/>
      <c r="N16" s="68"/>
      <c r="O16" s="68"/>
      <c r="P16" s="33"/>
      <c r="Q16" s="68"/>
      <c r="R16" s="68"/>
      <c r="S16" s="68"/>
      <c r="T16" s="68"/>
      <c r="U16" s="45"/>
      <c r="V16" s="68"/>
      <c r="W16" s="68"/>
      <c r="X16" s="34" t="s">
        <v>11</v>
      </c>
      <c r="Y16" s="2"/>
      <c r="Z16" s="22" t="s">
        <v>37</v>
      </c>
      <c r="AA16" s="38" t="s">
        <v>22</v>
      </c>
      <c r="AB16" s="2"/>
    </row>
    <row r="17" spans="1:28" ht="18.75" customHeight="1">
      <c r="A17" s="77" t="s">
        <v>38</v>
      </c>
      <c r="B17" s="86"/>
      <c r="C17" s="13">
        <f>D17/$D$41</f>
        <v>0.3056768558951965</v>
      </c>
      <c r="D17" s="14">
        <f>D18+D21+D23+D26</f>
        <v>70</v>
      </c>
      <c r="E17" s="15">
        <f t="shared" si="1"/>
        <v>5</v>
      </c>
      <c r="F17" s="46">
        <f t="shared" ref="F17:V17" si="7">F18+F21+F23+F26</f>
        <v>1</v>
      </c>
      <c r="G17" s="46">
        <f t="shared" si="7"/>
        <v>2</v>
      </c>
      <c r="H17" s="46">
        <f t="shared" si="7"/>
        <v>2</v>
      </c>
      <c r="I17" s="46">
        <f t="shared" si="7"/>
        <v>0</v>
      </c>
      <c r="J17" s="46">
        <f t="shared" si="7"/>
        <v>0</v>
      </c>
      <c r="K17" s="46">
        <f t="shared" si="7"/>
        <v>0</v>
      </c>
      <c r="L17" s="46">
        <f t="shared" si="7"/>
        <v>0</v>
      </c>
      <c r="M17" s="46">
        <f t="shared" si="7"/>
        <v>0</v>
      </c>
      <c r="N17" s="46">
        <f t="shared" si="7"/>
        <v>0</v>
      </c>
      <c r="O17" s="46">
        <f t="shared" si="7"/>
        <v>0</v>
      </c>
      <c r="P17" s="46">
        <f t="shared" si="7"/>
        <v>0</v>
      </c>
      <c r="Q17" s="46">
        <f t="shared" si="7"/>
        <v>0</v>
      </c>
      <c r="R17" s="46">
        <f t="shared" si="7"/>
        <v>0</v>
      </c>
      <c r="S17" s="46">
        <f t="shared" si="7"/>
        <v>0</v>
      </c>
      <c r="T17" s="46">
        <f t="shared" si="7"/>
        <v>0</v>
      </c>
      <c r="U17" s="46">
        <f t="shared" si="7"/>
        <v>0</v>
      </c>
      <c r="V17" s="46">
        <f t="shared" si="7"/>
        <v>0</v>
      </c>
      <c r="W17" s="47"/>
      <c r="X17" s="48"/>
      <c r="Y17" s="2"/>
      <c r="AA17" s="49"/>
      <c r="AB17" s="2"/>
    </row>
    <row r="18" spans="1:28" ht="18.75" customHeight="1">
      <c r="A18" s="51"/>
      <c r="B18" s="87" t="s">
        <v>39</v>
      </c>
      <c r="C18" s="88"/>
      <c r="D18" s="62">
        <f>SUM(D19:D20)</f>
        <v>4</v>
      </c>
      <c r="E18" s="63">
        <f t="shared" si="1"/>
        <v>4</v>
      </c>
      <c r="F18" s="36">
        <f t="shared" ref="F18:W18" si="8">SUM(F19:F20)</f>
        <v>1</v>
      </c>
      <c r="G18" s="36">
        <f t="shared" si="8"/>
        <v>2</v>
      </c>
      <c r="H18" s="36">
        <f t="shared" si="8"/>
        <v>1</v>
      </c>
      <c r="I18" s="36">
        <f t="shared" si="8"/>
        <v>0</v>
      </c>
      <c r="J18" s="36">
        <f t="shared" si="8"/>
        <v>0</v>
      </c>
      <c r="K18" s="36">
        <f t="shared" si="8"/>
        <v>0</v>
      </c>
      <c r="L18" s="36">
        <f t="shared" si="8"/>
        <v>0</v>
      </c>
      <c r="M18" s="36">
        <f t="shared" si="8"/>
        <v>0</v>
      </c>
      <c r="N18" s="36">
        <f t="shared" si="8"/>
        <v>0</v>
      </c>
      <c r="O18" s="36">
        <f t="shared" si="8"/>
        <v>0</v>
      </c>
      <c r="P18" s="36">
        <f t="shared" si="8"/>
        <v>0</v>
      </c>
      <c r="Q18" s="36">
        <f t="shared" si="8"/>
        <v>0</v>
      </c>
      <c r="R18" s="36">
        <f t="shared" si="8"/>
        <v>0</v>
      </c>
      <c r="S18" s="36">
        <f t="shared" si="8"/>
        <v>0</v>
      </c>
      <c r="T18" s="36">
        <f t="shared" si="8"/>
        <v>0</v>
      </c>
      <c r="U18" s="36">
        <f t="shared" si="8"/>
        <v>0</v>
      </c>
      <c r="V18" s="36">
        <f t="shared" si="8"/>
        <v>0</v>
      </c>
      <c r="W18" s="36">
        <f t="shared" si="8"/>
        <v>0</v>
      </c>
      <c r="X18" s="52" t="s">
        <v>11</v>
      </c>
      <c r="Y18" s="2"/>
      <c r="Z18" s="74" t="s">
        <v>40</v>
      </c>
      <c r="AA18" s="88"/>
      <c r="AB18" s="2"/>
    </row>
    <row r="19" spans="1:28" ht="18.75" customHeight="1">
      <c r="A19" s="51"/>
      <c r="B19" s="64"/>
      <c r="C19" s="25" t="s">
        <v>41</v>
      </c>
      <c r="D19" s="62">
        <v>2</v>
      </c>
      <c r="E19" s="63">
        <f t="shared" si="1"/>
        <v>2</v>
      </c>
      <c r="F19" s="21">
        <v>1</v>
      </c>
      <c r="G19" s="50">
        <v>1</v>
      </c>
      <c r="H19" s="21"/>
      <c r="I19" s="21"/>
      <c r="J19" s="21"/>
      <c r="K19" s="21"/>
      <c r="L19" s="21"/>
      <c r="M19" s="21"/>
      <c r="N19" s="21"/>
      <c r="O19" s="21"/>
      <c r="P19" s="66"/>
      <c r="Q19" s="21"/>
      <c r="R19" s="21"/>
      <c r="S19" s="21"/>
      <c r="T19" s="21"/>
      <c r="U19" s="21"/>
      <c r="V19" s="21"/>
      <c r="W19" s="21"/>
      <c r="X19" s="52" t="s">
        <v>15</v>
      </c>
      <c r="Y19" s="2"/>
      <c r="Z19" s="75" t="s">
        <v>42</v>
      </c>
      <c r="AA19" s="89"/>
      <c r="AB19" s="2"/>
    </row>
    <row r="20" spans="1:28" ht="18.75" customHeight="1">
      <c r="A20" s="28"/>
      <c r="B20" s="29"/>
      <c r="C20" s="67" t="s">
        <v>43</v>
      </c>
      <c r="D20" s="30">
        <v>2</v>
      </c>
      <c r="E20" s="31">
        <f t="shared" si="1"/>
        <v>2</v>
      </c>
      <c r="F20" s="32"/>
      <c r="G20" s="68">
        <v>1</v>
      </c>
      <c r="H20" s="50">
        <v>1</v>
      </c>
      <c r="I20" s="68"/>
      <c r="J20" s="68"/>
      <c r="K20" s="68"/>
      <c r="L20" s="68"/>
      <c r="M20" s="68"/>
      <c r="N20" s="68"/>
      <c r="O20" s="68"/>
      <c r="P20" s="33"/>
      <c r="Q20" s="68"/>
      <c r="R20" s="68"/>
      <c r="S20" s="68"/>
      <c r="T20" s="68"/>
      <c r="U20" s="68"/>
      <c r="V20" s="68"/>
      <c r="W20" s="68"/>
      <c r="X20" s="34" t="s">
        <v>15</v>
      </c>
      <c r="Y20" s="2"/>
      <c r="Z20" s="90"/>
      <c r="AA20" s="91"/>
      <c r="AB20" s="2"/>
    </row>
    <row r="21" spans="1:28" ht="18.75" customHeight="1">
      <c r="A21" s="51"/>
      <c r="B21" s="87" t="s">
        <v>44</v>
      </c>
      <c r="C21" s="88"/>
      <c r="D21" s="62">
        <v>6</v>
      </c>
      <c r="E21" s="63">
        <f t="shared" si="1"/>
        <v>1</v>
      </c>
      <c r="F21" s="36">
        <f t="shared" ref="F21:W21" si="9">SUM(F22)</f>
        <v>0</v>
      </c>
      <c r="G21" s="36">
        <f t="shared" si="9"/>
        <v>0</v>
      </c>
      <c r="H21" s="36">
        <f t="shared" si="9"/>
        <v>1</v>
      </c>
      <c r="I21" s="36">
        <f t="shared" si="9"/>
        <v>0</v>
      </c>
      <c r="J21" s="36">
        <f t="shared" si="9"/>
        <v>0</v>
      </c>
      <c r="K21" s="36">
        <f t="shared" si="9"/>
        <v>0</v>
      </c>
      <c r="L21" s="36">
        <f t="shared" si="9"/>
        <v>0</v>
      </c>
      <c r="M21" s="36">
        <f t="shared" si="9"/>
        <v>0</v>
      </c>
      <c r="N21" s="36">
        <f t="shared" si="9"/>
        <v>0</v>
      </c>
      <c r="O21" s="36">
        <f t="shared" si="9"/>
        <v>0</v>
      </c>
      <c r="P21" s="36">
        <f t="shared" si="9"/>
        <v>0</v>
      </c>
      <c r="Q21" s="36">
        <f t="shared" si="9"/>
        <v>0</v>
      </c>
      <c r="R21" s="36">
        <f t="shared" si="9"/>
        <v>0</v>
      </c>
      <c r="S21" s="36">
        <f t="shared" si="9"/>
        <v>0</v>
      </c>
      <c r="T21" s="36">
        <f t="shared" si="9"/>
        <v>0</v>
      </c>
      <c r="U21" s="36">
        <f t="shared" si="9"/>
        <v>0</v>
      </c>
      <c r="V21" s="36">
        <f t="shared" si="9"/>
        <v>0</v>
      </c>
      <c r="W21" s="36">
        <f t="shared" si="9"/>
        <v>0</v>
      </c>
      <c r="X21" s="52" t="s">
        <v>11</v>
      </c>
      <c r="Y21" s="2"/>
      <c r="Z21" s="76" t="s">
        <v>45</v>
      </c>
      <c r="AA21" s="89"/>
      <c r="AB21" s="2"/>
    </row>
    <row r="22" spans="1:28" ht="18.75" customHeight="1">
      <c r="A22" s="51"/>
      <c r="B22" s="64"/>
      <c r="C22" s="25" t="s">
        <v>46</v>
      </c>
      <c r="D22" s="62">
        <v>6</v>
      </c>
      <c r="E22" s="63">
        <f t="shared" si="1"/>
        <v>1</v>
      </c>
      <c r="F22" s="65"/>
      <c r="G22" s="21"/>
      <c r="H22" s="21">
        <v>1</v>
      </c>
      <c r="I22" s="21"/>
      <c r="J22" s="21"/>
      <c r="K22" s="21"/>
      <c r="L22" s="21"/>
      <c r="M22" s="21"/>
      <c r="N22" s="21"/>
      <c r="O22" s="21"/>
      <c r="P22" s="66"/>
      <c r="Q22" s="21"/>
      <c r="R22" s="21"/>
      <c r="S22" s="21"/>
      <c r="T22" s="21"/>
      <c r="U22" s="21"/>
      <c r="V22" s="21"/>
      <c r="W22" s="21"/>
      <c r="X22" s="52" t="s">
        <v>11</v>
      </c>
      <c r="Y22" s="2"/>
      <c r="Z22" s="90"/>
      <c r="AA22" s="91"/>
      <c r="AB22" s="2"/>
    </row>
    <row r="23" spans="1:28" ht="18.75" customHeight="1">
      <c r="A23" s="51"/>
      <c r="B23" s="87" t="s">
        <v>47</v>
      </c>
      <c r="C23" s="88"/>
      <c r="D23" s="62">
        <f>SUM(D24:D25)</f>
        <v>15</v>
      </c>
      <c r="E23" s="63">
        <f t="shared" si="1"/>
        <v>0</v>
      </c>
      <c r="F23" s="36">
        <f t="shared" ref="F23:K23" si="10">SUM(F24:F25)</f>
        <v>0</v>
      </c>
      <c r="G23" s="53">
        <f t="shared" si="10"/>
        <v>0</v>
      </c>
      <c r="H23" s="53">
        <f t="shared" si="10"/>
        <v>0</v>
      </c>
      <c r="I23" s="53">
        <f t="shared" si="10"/>
        <v>0</v>
      </c>
      <c r="J23" s="53">
        <f t="shared" si="10"/>
        <v>0</v>
      </c>
      <c r="K23" s="53">
        <f t="shared" si="10"/>
        <v>0</v>
      </c>
      <c r="L23" s="53"/>
      <c r="M23" s="53"/>
      <c r="N23" s="53"/>
      <c r="O23" s="53"/>
      <c r="P23" s="66"/>
      <c r="Q23" s="53"/>
      <c r="R23" s="21"/>
      <c r="S23" s="21"/>
      <c r="T23" s="53"/>
      <c r="U23" s="53"/>
      <c r="V23" s="53"/>
      <c r="W23" s="53">
        <f>SUM(W24:W25)</f>
        <v>0</v>
      </c>
      <c r="X23" s="52" t="s">
        <v>11</v>
      </c>
      <c r="Y23" s="2"/>
      <c r="Z23" s="2"/>
      <c r="AA23" s="2"/>
      <c r="AB23" s="2"/>
    </row>
    <row r="24" spans="1:28" ht="18.75" customHeight="1">
      <c r="A24" s="51"/>
      <c r="B24" s="64"/>
      <c r="C24" s="25" t="s">
        <v>33</v>
      </c>
      <c r="D24" s="62">
        <v>5</v>
      </c>
      <c r="E24" s="63">
        <f t="shared" si="1"/>
        <v>0</v>
      </c>
      <c r="F24" s="65"/>
      <c r="G24" s="21"/>
      <c r="H24" s="21"/>
      <c r="I24" s="21"/>
      <c r="J24" s="21"/>
      <c r="K24" s="21"/>
      <c r="L24" s="21"/>
      <c r="M24" s="50"/>
      <c r="N24" s="21"/>
      <c r="O24" s="21"/>
      <c r="P24" s="66"/>
      <c r="Q24" s="21"/>
      <c r="R24" s="21"/>
      <c r="S24" s="21"/>
      <c r="T24" s="21"/>
      <c r="U24" s="21"/>
      <c r="V24" s="21"/>
      <c r="W24" s="21"/>
      <c r="X24" s="52" t="s">
        <v>11</v>
      </c>
      <c r="Y24" s="2"/>
      <c r="Z24" s="2"/>
      <c r="AA24" s="2"/>
      <c r="AB24" s="2"/>
    </row>
    <row r="25" spans="1:28" ht="18.75" customHeight="1">
      <c r="A25" s="28"/>
      <c r="B25" s="29"/>
      <c r="C25" s="67" t="s">
        <v>36</v>
      </c>
      <c r="D25" s="30">
        <v>10</v>
      </c>
      <c r="E25" s="31">
        <f t="shared" si="1"/>
        <v>0</v>
      </c>
      <c r="F25" s="32"/>
      <c r="G25" s="68"/>
      <c r="H25" s="68"/>
      <c r="I25" s="68"/>
      <c r="J25" s="68"/>
      <c r="K25" s="68"/>
      <c r="L25" s="68"/>
      <c r="M25" s="68"/>
      <c r="N25" s="68"/>
      <c r="O25" s="68"/>
      <c r="P25" s="33"/>
      <c r="Q25" s="68"/>
      <c r="R25" s="68"/>
      <c r="S25" s="68"/>
      <c r="T25" s="68"/>
      <c r="U25" s="50"/>
      <c r="V25" s="68"/>
      <c r="W25" s="68"/>
      <c r="X25" s="34" t="s">
        <v>11</v>
      </c>
      <c r="Y25" s="2"/>
      <c r="Z25" s="2"/>
      <c r="AA25" s="2"/>
      <c r="AB25" s="2"/>
    </row>
    <row r="26" spans="1:28" ht="18.75" customHeight="1">
      <c r="A26" s="51"/>
      <c r="B26" s="87" t="s">
        <v>48</v>
      </c>
      <c r="C26" s="88"/>
      <c r="D26" s="62">
        <f>SUM(D27:D28)</f>
        <v>45</v>
      </c>
      <c r="E26" s="63">
        <f t="shared" si="1"/>
        <v>0</v>
      </c>
      <c r="F26" s="36">
        <f t="shared" ref="F26:K26" si="11">SUM(F27:F28)</f>
        <v>0</v>
      </c>
      <c r="G26" s="53">
        <f t="shared" si="11"/>
        <v>0</v>
      </c>
      <c r="H26" s="53">
        <f t="shared" si="11"/>
        <v>0</v>
      </c>
      <c r="I26" s="53">
        <f t="shared" si="11"/>
        <v>0</v>
      </c>
      <c r="J26" s="53">
        <f t="shared" si="11"/>
        <v>0</v>
      </c>
      <c r="K26" s="53">
        <f t="shared" si="11"/>
        <v>0</v>
      </c>
      <c r="L26" s="53"/>
      <c r="M26" s="53"/>
      <c r="N26" s="53"/>
      <c r="O26" s="53"/>
      <c r="P26" s="66"/>
      <c r="Q26" s="53"/>
      <c r="R26" s="21"/>
      <c r="S26" s="21"/>
      <c r="T26" s="21"/>
      <c r="U26" s="21"/>
      <c r="V26" s="21"/>
      <c r="W26" s="53">
        <f>SUM(W27:W28)</f>
        <v>0</v>
      </c>
      <c r="X26" s="52" t="s">
        <v>11</v>
      </c>
      <c r="Y26" s="2"/>
      <c r="Z26" s="2"/>
      <c r="AA26" s="2"/>
      <c r="AB26" s="2"/>
    </row>
    <row r="27" spans="1:28" ht="18.75" customHeight="1">
      <c r="A27" s="51"/>
      <c r="B27" s="64"/>
      <c r="C27" s="25" t="s">
        <v>49</v>
      </c>
      <c r="D27" s="62">
        <v>15</v>
      </c>
      <c r="E27" s="63">
        <f t="shared" si="1"/>
        <v>0</v>
      </c>
      <c r="F27" s="65"/>
      <c r="G27" s="21"/>
      <c r="H27" s="21"/>
      <c r="I27" s="21"/>
      <c r="J27" s="21"/>
      <c r="K27" s="21"/>
      <c r="L27" s="21"/>
      <c r="M27" s="21"/>
      <c r="N27" s="21"/>
      <c r="O27" s="21"/>
      <c r="P27" s="66"/>
      <c r="Q27" s="21"/>
      <c r="R27" s="50"/>
      <c r="S27" s="50"/>
      <c r="T27" s="21"/>
      <c r="U27" s="21"/>
      <c r="V27" s="21"/>
      <c r="W27" s="21"/>
      <c r="X27" s="52" t="s">
        <v>11</v>
      </c>
      <c r="Y27" s="2"/>
      <c r="Z27" s="2"/>
      <c r="AA27" s="2"/>
      <c r="AB27" s="2"/>
    </row>
    <row r="28" spans="1:28" ht="18.75" customHeight="1">
      <c r="A28" s="28"/>
      <c r="B28" s="29"/>
      <c r="C28" s="67" t="s">
        <v>48</v>
      </c>
      <c r="D28" s="30">
        <v>30</v>
      </c>
      <c r="E28" s="31">
        <f t="shared" si="1"/>
        <v>0</v>
      </c>
      <c r="F28" s="32"/>
      <c r="G28" s="68"/>
      <c r="H28" s="68"/>
      <c r="I28" s="68"/>
      <c r="J28" s="68"/>
      <c r="K28" s="68"/>
      <c r="L28" s="68"/>
      <c r="M28" s="68"/>
      <c r="N28" s="68"/>
      <c r="O28" s="68"/>
      <c r="P28" s="33"/>
      <c r="Q28" s="68"/>
      <c r="R28" s="68"/>
      <c r="S28" s="68"/>
      <c r="T28" s="68"/>
      <c r="U28" s="68"/>
      <c r="V28" s="50"/>
      <c r="W28" s="68"/>
      <c r="X28" s="34" t="s">
        <v>11</v>
      </c>
      <c r="Y28" s="2"/>
      <c r="Z28" s="2"/>
      <c r="AA28" s="2"/>
      <c r="AB28" s="2"/>
    </row>
    <row r="29" spans="1:28" ht="18.75" customHeight="1">
      <c r="A29" s="77" t="s">
        <v>50</v>
      </c>
      <c r="B29" s="86"/>
      <c r="C29" s="13">
        <f>D29/$D$41</f>
        <v>0.34497816593886466</v>
      </c>
      <c r="D29" s="14">
        <f>D30+D33+D37</f>
        <v>79</v>
      </c>
      <c r="E29" s="15">
        <f t="shared" si="1"/>
        <v>0</v>
      </c>
      <c r="F29" s="46">
        <f t="shared" ref="F29:V29" si="12">F30+F33+F37</f>
        <v>0</v>
      </c>
      <c r="G29" s="46">
        <f t="shared" si="12"/>
        <v>0</v>
      </c>
      <c r="H29" s="46">
        <f t="shared" si="12"/>
        <v>0</v>
      </c>
      <c r="I29" s="46">
        <f t="shared" si="12"/>
        <v>0</v>
      </c>
      <c r="J29" s="46">
        <f t="shared" si="12"/>
        <v>0</v>
      </c>
      <c r="K29" s="46">
        <f t="shared" si="12"/>
        <v>0</v>
      </c>
      <c r="L29" s="46">
        <f t="shared" si="12"/>
        <v>0</v>
      </c>
      <c r="M29" s="46">
        <f t="shared" si="12"/>
        <v>0</v>
      </c>
      <c r="N29" s="46">
        <f t="shared" si="12"/>
        <v>0</v>
      </c>
      <c r="O29" s="46">
        <f t="shared" si="12"/>
        <v>0</v>
      </c>
      <c r="P29" s="46">
        <f t="shared" si="12"/>
        <v>0</v>
      </c>
      <c r="Q29" s="46">
        <f t="shared" si="12"/>
        <v>0</v>
      </c>
      <c r="R29" s="46">
        <f t="shared" si="12"/>
        <v>0</v>
      </c>
      <c r="S29" s="46">
        <f t="shared" si="12"/>
        <v>0</v>
      </c>
      <c r="T29" s="46">
        <f t="shared" si="12"/>
        <v>0</v>
      </c>
      <c r="U29" s="46">
        <f t="shared" si="12"/>
        <v>0</v>
      </c>
      <c r="V29" s="46">
        <f t="shared" si="12"/>
        <v>0</v>
      </c>
      <c r="W29" s="47"/>
      <c r="X29" s="48"/>
      <c r="Y29" s="2"/>
      <c r="Z29" s="2"/>
      <c r="AA29" s="2"/>
      <c r="AB29" s="2"/>
    </row>
    <row r="30" spans="1:28" ht="18.75" customHeight="1">
      <c r="A30" s="51"/>
      <c r="B30" s="87" t="s">
        <v>51</v>
      </c>
      <c r="C30" s="88"/>
      <c r="D30" s="62">
        <f>SUM(D31:D32)</f>
        <v>20</v>
      </c>
      <c r="E30" s="63">
        <f t="shared" si="1"/>
        <v>0</v>
      </c>
      <c r="F30" s="36">
        <f t="shared" ref="F30:W30" si="13">SUM(F31:F32)</f>
        <v>0</v>
      </c>
      <c r="G30" s="53">
        <f t="shared" si="13"/>
        <v>0</v>
      </c>
      <c r="H30" s="53">
        <f t="shared" si="13"/>
        <v>0</v>
      </c>
      <c r="I30" s="53">
        <f t="shared" si="13"/>
        <v>0</v>
      </c>
      <c r="J30" s="53">
        <f t="shared" si="13"/>
        <v>0</v>
      </c>
      <c r="K30" s="53">
        <f t="shared" si="13"/>
        <v>0</v>
      </c>
      <c r="L30" s="53">
        <f t="shared" si="13"/>
        <v>0</v>
      </c>
      <c r="M30" s="53">
        <f t="shared" si="13"/>
        <v>0</v>
      </c>
      <c r="N30" s="53">
        <f t="shared" si="13"/>
        <v>0</v>
      </c>
      <c r="O30" s="53">
        <f t="shared" si="13"/>
        <v>0</v>
      </c>
      <c r="P30" s="53">
        <f t="shared" si="13"/>
        <v>0</v>
      </c>
      <c r="Q30" s="53">
        <f t="shared" si="13"/>
        <v>0</v>
      </c>
      <c r="R30" s="53">
        <f t="shared" si="13"/>
        <v>0</v>
      </c>
      <c r="S30" s="53">
        <f t="shared" si="13"/>
        <v>0</v>
      </c>
      <c r="T30" s="53">
        <f t="shared" si="13"/>
        <v>0</v>
      </c>
      <c r="U30" s="53">
        <f t="shared" si="13"/>
        <v>0</v>
      </c>
      <c r="V30" s="53">
        <f t="shared" si="13"/>
        <v>0</v>
      </c>
      <c r="W30" s="53">
        <f t="shared" si="13"/>
        <v>0</v>
      </c>
      <c r="X30" s="52" t="s">
        <v>11</v>
      </c>
      <c r="Y30" s="2"/>
      <c r="Z30" s="2"/>
      <c r="AA30" s="2"/>
      <c r="AB30" s="2"/>
    </row>
    <row r="31" spans="1:28" ht="18.75" customHeight="1">
      <c r="A31" s="51"/>
      <c r="B31" s="64"/>
      <c r="C31" s="25" t="s">
        <v>52</v>
      </c>
      <c r="D31" s="62">
        <v>10</v>
      </c>
      <c r="E31" s="63">
        <f t="shared" si="1"/>
        <v>0</v>
      </c>
      <c r="F31" s="65"/>
      <c r="G31" s="21"/>
      <c r="H31" s="21"/>
      <c r="I31" s="50"/>
      <c r="J31" s="21"/>
      <c r="K31" s="21"/>
      <c r="L31" s="21"/>
      <c r="M31" s="21"/>
      <c r="N31" s="21"/>
      <c r="O31" s="21"/>
      <c r="P31" s="66"/>
      <c r="Q31" s="21"/>
      <c r="R31" s="21"/>
      <c r="S31" s="21"/>
      <c r="T31" s="21"/>
      <c r="U31" s="21"/>
      <c r="V31" s="21"/>
      <c r="W31" s="21"/>
      <c r="X31" s="70" t="s">
        <v>11</v>
      </c>
      <c r="Y31" s="2"/>
      <c r="Z31" s="2"/>
      <c r="AA31" s="2"/>
      <c r="AB31" s="2"/>
    </row>
    <row r="32" spans="1:28" ht="18.75" customHeight="1">
      <c r="A32" s="28"/>
      <c r="B32" s="29"/>
      <c r="C32" s="67" t="s">
        <v>53</v>
      </c>
      <c r="D32" s="30">
        <v>10</v>
      </c>
      <c r="E32" s="31">
        <f t="shared" si="1"/>
        <v>0</v>
      </c>
      <c r="F32" s="32"/>
      <c r="G32" s="68"/>
      <c r="H32" s="68"/>
      <c r="I32" s="68"/>
      <c r="J32" s="68"/>
      <c r="K32" s="71"/>
      <c r="L32" s="68"/>
      <c r="M32" s="68"/>
      <c r="N32" s="68"/>
      <c r="O32" s="68"/>
      <c r="P32" s="33"/>
      <c r="Q32" s="68"/>
      <c r="R32" s="68"/>
      <c r="S32" s="68"/>
      <c r="T32" s="68"/>
      <c r="U32" s="68"/>
      <c r="V32" s="68"/>
      <c r="W32" s="68"/>
      <c r="X32" s="34" t="s">
        <v>11</v>
      </c>
      <c r="Y32" s="2"/>
      <c r="Z32" s="2"/>
      <c r="AA32" s="2"/>
      <c r="AB32" s="2"/>
    </row>
    <row r="33" spans="1:28" ht="18.75" customHeight="1">
      <c r="A33" s="51"/>
      <c r="B33" s="87" t="s">
        <v>54</v>
      </c>
      <c r="C33" s="88"/>
      <c r="D33" s="62">
        <f>SUM(D34:D36)</f>
        <v>30</v>
      </c>
      <c r="E33" s="63">
        <f t="shared" si="1"/>
        <v>0</v>
      </c>
      <c r="F33" s="36">
        <f t="shared" ref="F33:W33" si="14">SUM(F34:F36)</f>
        <v>0</v>
      </c>
      <c r="G33" s="53">
        <f t="shared" si="14"/>
        <v>0</v>
      </c>
      <c r="H33" s="53">
        <f t="shared" si="14"/>
        <v>0</v>
      </c>
      <c r="I33" s="53">
        <f t="shared" si="14"/>
        <v>0</v>
      </c>
      <c r="J33" s="53">
        <f t="shared" si="14"/>
        <v>0</v>
      </c>
      <c r="K33" s="53">
        <f t="shared" si="14"/>
        <v>0</v>
      </c>
      <c r="L33" s="53">
        <f t="shared" si="14"/>
        <v>0</v>
      </c>
      <c r="M33" s="53">
        <f t="shared" si="14"/>
        <v>0</v>
      </c>
      <c r="N33" s="53">
        <f t="shared" si="14"/>
        <v>0</v>
      </c>
      <c r="O33" s="53">
        <f t="shared" si="14"/>
        <v>0</v>
      </c>
      <c r="P33" s="53">
        <f t="shared" si="14"/>
        <v>0</v>
      </c>
      <c r="Q33" s="53">
        <f t="shared" si="14"/>
        <v>0</v>
      </c>
      <c r="R33" s="53">
        <f t="shared" si="14"/>
        <v>0</v>
      </c>
      <c r="S33" s="53">
        <f t="shared" si="14"/>
        <v>0</v>
      </c>
      <c r="T33" s="53">
        <f t="shared" si="14"/>
        <v>0</v>
      </c>
      <c r="U33" s="53">
        <f t="shared" si="14"/>
        <v>0</v>
      </c>
      <c r="V33" s="53">
        <f t="shared" si="14"/>
        <v>0</v>
      </c>
      <c r="W33" s="53">
        <f t="shared" si="14"/>
        <v>0</v>
      </c>
      <c r="X33" s="52" t="s">
        <v>11</v>
      </c>
      <c r="Y33" s="2"/>
      <c r="Z33" s="2"/>
      <c r="AA33" s="2"/>
      <c r="AB33" s="2"/>
    </row>
    <row r="34" spans="1:28" ht="18.75" customHeight="1">
      <c r="A34" s="51"/>
      <c r="B34" s="64"/>
      <c r="C34" s="25" t="s">
        <v>55</v>
      </c>
      <c r="D34" s="62">
        <v>5</v>
      </c>
      <c r="E34" s="63">
        <f t="shared" si="1"/>
        <v>0</v>
      </c>
      <c r="F34" s="65"/>
      <c r="G34" s="21"/>
      <c r="H34" s="21"/>
      <c r="I34" s="21"/>
      <c r="J34" s="21"/>
      <c r="K34" s="21"/>
      <c r="L34" s="21"/>
      <c r="M34" s="50"/>
      <c r="N34" s="21"/>
      <c r="O34" s="21"/>
      <c r="P34" s="66"/>
      <c r="Q34" s="21"/>
      <c r="R34" s="21"/>
      <c r="S34" s="21"/>
      <c r="T34" s="21"/>
      <c r="U34" s="21"/>
      <c r="V34" s="21"/>
      <c r="W34" s="21"/>
      <c r="X34" s="52" t="s">
        <v>11</v>
      </c>
      <c r="Y34" s="2"/>
      <c r="Z34" s="2"/>
      <c r="AA34" s="2"/>
      <c r="AB34" s="2"/>
    </row>
    <row r="35" spans="1:28" ht="18.75" customHeight="1">
      <c r="A35" s="51"/>
      <c r="B35" s="64"/>
      <c r="C35" s="25" t="s">
        <v>56</v>
      </c>
      <c r="D35" s="62">
        <v>10</v>
      </c>
      <c r="E35" s="63">
        <f t="shared" si="1"/>
        <v>0</v>
      </c>
      <c r="F35" s="65"/>
      <c r="G35" s="21"/>
      <c r="H35" s="21"/>
      <c r="I35" s="21"/>
      <c r="J35" s="21"/>
      <c r="K35" s="21"/>
      <c r="L35" s="21"/>
      <c r="M35" s="21"/>
      <c r="N35" s="50"/>
      <c r="O35" s="21"/>
      <c r="P35" s="66"/>
      <c r="Q35" s="21"/>
      <c r="R35" s="21"/>
      <c r="S35" s="21"/>
      <c r="T35" s="21"/>
      <c r="U35" s="21"/>
      <c r="V35" s="21"/>
      <c r="W35" s="21"/>
      <c r="X35" s="52"/>
      <c r="Y35" s="2"/>
      <c r="Z35" s="2"/>
      <c r="AA35" s="2"/>
      <c r="AB35" s="2"/>
    </row>
    <row r="36" spans="1:28" ht="18.75" customHeight="1">
      <c r="A36" s="28"/>
      <c r="B36" s="29"/>
      <c r="C36" s="67" t="s">
        <v>57</v>
      </c>
      <c r="D36" s="30">
        <v>15</v>
      </c>
      <c r="E36" s="31">
        <f t="shared" si="1"/>
        <v>0</v>
      </c>
      <c r="F36" s="32"/>
      <c r="G36" s="68"/>
      <c r="H36" s="68"/>
      <c r="I36" s="68"/>
      <c r="J36" s="68"/>
      <c r="K36" s="68"/>
      <c r="L36" s="68"/>
      <c r="M36" s="68"/>
      <c r="N36" s="71"/>
      <c r="O36" s="68"/>
      <c r="P36" s="33"/>
      <c r="Q36" s="68"/>
      <c r="R36" s="68"/>
      <c r="S36" s="68"/>
      <c r="T36" s="68"/>
      <c r="U36" s="68"/>
      <c r="V36" s="68"/>
      <c r="W36" s="68"/>
      <c r="X36" s="34" t="s">
        <v>11</v>
      </c>
      <c r="Y36" s="2"/>
      <c r="Z36" s="2"/>
      <c r="AA36" s="2"/>
      <c r="AB36" s="2"/>
    </row>
    <row r="37" spans="1:28" ht="18.75" customHeight="1">
      <c r="A37" s="51"/>
      <c r="B37" s="87" t="s">
        <v>58</v>
      </c>
      <c r="C37" s="88"/>
      <c r="D37" s="62">
        <f>SUM(D38:D40)</f>
        <v>29</v>
      </c>
      <c r="E37" s="63">
        <f t="shared" si="1"/>
        <v>0</v>
      </c>
      <c r="F37" s="36">
        <f t="shared" ref="F37:J37" si="15">SUM(F38:F40)</f>
        <v>0</v>
      </c>
      <c r="G37" s="53">
        <f t="shared" si="15"/>
        <v>0</v>
      </c>
      <c r="H37" s="53">
        <f t="shared" si="15"/>
        <v>0</v>
      </c>
      <c r="I37" s="53">
        <f t="shared" si="15"/>
        <v>0</v>
      </c>
      <c r="J37" s="53">
        <f t="shared" si="15"/>
        <v>0</v>
      </c>
      <c r="K37" s="53"/>
      <c r="L37" s="53"/>
      <c r="M37" s="53"/>
      <c r="N37" s="53"/>
      <c r="O37" s="53"/>
      <c r="P37" s="66"/>
      <c r="Q37" s="53"/>
      <c r="R37" s="21"/>
      <c r="S37" s="21"/>
      <c r="T37" s="21"/>
      <c r="U37" s="21">
        <f t="shared" ref="U37:W37" si="16">SUM(U38:U40)</f>
        <v>0</v>
      </c>
      <c r="V37" s="21">
        <f t="shared" si="16"/>
        <v>0</v>
      </c>
      <c r="W37" s="53">
        <f t="shared" si="16"/>
        <v>0</v>
      </c>
      <c r="X37" s="52" t="s">
        <v>11</v>
      </c>
      <c r="Y37" s="2"/>
      <c r="Z37" s="2"/>
      <c r="AA37" s="2"/>
      <c r="AB37" s="2"/>
    </row>
    <row r="38" spans="1:28" ht="18.75" customHeight="1">
      <c r="A38" s="51"/>
      <c r="B38" s="64"/>
      <c r="C38" s="25" t="s">
        <v>59</v>
      </c>
      <c r="D38" s="62">
        <v>7</v>
      </c>
      <c r="E38" s="63">
        <f t="shared" si="1"/>
        <v>0</v>
      </c>
      <c r="F38" s="65"/>
      <c r="G38" s="21"/>
      <c r="H38" s="21"/>
      <c r="I38" s="21"/>
      <c r="J38" s="21"/>
      <c r="K38" s="21"/>
      <c r="L38" s="21"/>
      <c r="M38" s="21"/>
      <c r="N38" s="21"/>
      <c r="O38" s="21"/>
      <c r="P38" s="66"/>
      <c r="Q38" s="21"/>
      <c r="R38" s="21"/>
      <c r="S38" s="21"/>
      <c r="T38" s="21"/>
      <c r="U38" s="21"/>
      <c r="V38" s="21"/>
      <c r="W38" s="21"/>
      <c r="X38" s="52" t="s">
        <v>11</v>
      </c>
      <c r="Y38" s="2"/>
      <c r="Z38" s="2"/>
      <c r="AA38" s="2"/>
      <c r="AB38" s="2"/>
    </row>
    <row r="39" spans="1:28" ht="18.75" customHeight="1">
      <c r="A39" s="51"/>
      <c r="B39" s="64"/>
      <c r="C39" s="25" t="s">
        <v>60</v>
      </c>
      <c r="D39" s="62">
        <v>7</v>
      </c>
      <c r="E39" s="63">
        <f t="shared" si="1"/>
        <v>0</v>
      </c>
      <c r="F39" s="65"/>
      <c r="G39" s="21"/>
      <c r="H39" s="21"/>
      <c r="I39" s="21"/>
      <c r="J39" s="21"/>
      <c r="K39" s="21"/>
      <c r="L39" s="21"/>
      <c r="M39" s="21"/>
      <c r="N39" s="21"/>
      <c r="O39" s="21"/>
      <c r="P39" s="66"/>
      <c r="Q39" s="69"/>
      <c r="R39" s="21"/>
      <c r="S39" s="21"/>
      <c r="T39" s="21"/>
      <c r="U39" s="21"/>
      <c r="V39" s="21"/>
      <c r="W39" s="21"/>
      <c r="X39" s="52" t="s">
        <v>11</v>
      </c>
      <c r="Y39" s="2"/>
      <c r="Z39" s="2"/>
      <c r="AA39" s="2"/>
      <c r="AB39" s="2"/>
    </row>
    <row r="40" spans="1:28" ht="18.75" customHeight="1">
      <c r="A40" s="51"/>
      <c r="B40" s="64"/>
      <c r="C40" s="25" t="s">
        <v>61</v>
      </c>
      <c r="D40" s="62">
        <v>15</v>
      </c>
      <c r="E40" s="63">
        <f t="shared" si="1"/>
        <v>0</v>
      </c>
      <c r="F40" s="65"/>
      <c r="G40" s="21"/>
      <c r="H40" s="21"/>
      <c r="I40" s="21"/>
      <c r="J40" s="21"/>
      <c r="K40" s="21"/>
      <c r="L40" s="21"/>
      <c r="M40" s="21"/>
      <c r="N40" s="21"/>
      <c r="O40" s="21"/>
      <c r="P40" s="66"/>
      <c r="Q40" s="21"/>
      <c r="R40" s="69"/>
      <c r="S40" s="69"/>
      <c r="T40" s="21"/>
      <c r="U40" s="21"/>
      <c r="V40" s="21"/>
      <c r="W40" s="21"/>
      <c r="X40" s="52" t="s">
        <v>11</v>
      </c>
      <c r="Y40" s="2"/>
      <c r="Z40" s="2"/>
      <c r="AA40" s="2"/>
      <c r="AB40" s="2"/>
    </row>
    <row r="41" spans="1:28" ht="18.75" customHeight="1">
      <c r="B41" s="78" t="s">
        <v>62</v>
      </c>
      <c r="C41" s="92"/>
      <c r="D41" s="54">
        <f t="shared" ref="D41:V41" si="17">D29+D17+D3</f>
        <v>229</v>
      </c>
      <c r="E41" s="54">
        <f t="shared" si="17"/>
        <v>31</v>
      </c>
      <c r="F41" s="54">
        <f t="shared" si="17"/>
        <v>15</v>
      </c>
      <c r="G41" s="54">
        <f t="shared" si="17"/>
        <v>10</v>
      </c>
      <c r="H41" s="54">
        <f t="shared" si="17"/>
        <v>6</v>
      </c>
      <c r="I41" s="54">
        <f t="shared" si="17"/>
        <v>0</v>
      </c>
      <c r="J41" s="54">
        <f t="shared" si="17"/>
        <v>0</v>
      </c>
      <c r="K41" s="54">
        <f t="shared" si="17"/>
        <v>0</v>
      </c>
      <c r="L41" s="54">
        <f t="shared" si="17"/>
        <v>0</v>
      </c>
      <c r="M41" s="54">
        <f t="shared" si="17"/>
        <v>0</v>
      </c>
      <c r="N41" s="54">
        <f t="shared" si="17"/>
        <v>0</v>
      </c>
      <c r="O41" s="54">
        <f t="shared" si="17"/>
        <v>0</v>
      </c>
      <c r="P41" s="54">
        <f t="shared" si="17"/>
        <v>0</v>
      </c>
      <c r="Q41" s="54">
        <f t="shared" si="17"/>
        <v>0</v>
      </c>
      <c r="R41" s="54">
        <f t="shared" si="17"/>
        <v>0</v>
      </c>
      <c r="S41" s="54">
        <f t="shared" si="17"/>
        <v>0</v>
      </c>
      <c r="T41" s="54">
        <f t="shared" si="17"/>
        <v>0</v>
      </c>
      <c r="U41" s="54">
        <f t="shared" si="17"/>
        <v>0</v>
      </c>
      <c r="V41" s="54">
        <f t="shared" si="17"/>
        <v>0</v>
      </c>
      <c r="W41" s="54"/>
      <c r="X41" s="55"/>
      <c r="Y41" s="2"/>
      <c r="Z41" s="2"/>
      <c r="AA41" s="2"/>
      <c r="AB41" s="2"/>
    </row>
    <row r="42" spans="1:28" ht="18.75" customHeight="1">
      <c r="C42" s="25" t="s">
        <v>63</v>
      </c>
      <c r="D42" s="56">
        <f>SUM(F42:V42)</f>
        <v>240</v>
      </c>
      <c r="E42" s="56">
        <f>SUM(F42:V42)</f>
        <v>240</v>
      </c>
      <c r="F42" s="72">
        <v>15</v>
      </c>
      <c r="G42" s="72">
        <v>15</v>
      </c>
      <c r="H42" s="72">
        <v>15</v>
      </c>
      <c r="I42" s="72">
        <v>15</v>
      </c>
      <c r="J42" s="72">
        <v>15</v>
      </c>
      <c r="K42" s="72">
        <v>15</v>
      </c>
      <c r="L42" s="72">
        <v>15</v>
      </c>
      <c r="M42" s="72">
        <v>15</v>
      </c>
      <c r="N42" s="72">
        <v>15</v>
      </c>
      <c r="O42" s="72">
        <v>15</v>
      </c>
      <c r="P42" s="72">
        <v>15</v>
      </c>
      <c r="Q42" s="72">
        <v>15</v>
      </c>
      <c r="R42" s="72">
        <v>15</v>
      </c>
      <c r="S42" s="72">
        <v>0</v>
      </c>
      <c r="T42" s="72">
        <v>15</v>
      </c>
      <c r="U42" s="72">
        <v>15</v>
      </c>
      <c r="V42" s="72">
        <v>15</v>
      </c>
      <c r="Y42" s="2"/>
      <c r="Z42" s="2"/>
      <c r="AA42" s="2"/>
      <c r="AB42" s="2"/>
    </row>
    <row r="43" spans="1:28" ht="18.75" customHeight="1">
      <c r="C43" s="25" t="s">
        <v>64</v>
      </c>
      <c r="D43" s="56">
        <f t="shared" ref="D43:V43" si="18">D42-D41</f>
        <v>11</v>
      </c>
      <c r="E43" s="56">
        <f t="shared" si="18"/>
        <v>209</v>
      </c>
      <c r="F43" s="56">
        <f t="shared" si="18"/>
        <v>0</v>
      </c>
      <c r="G43" s="56">
        <f t="shared" si="18"/>
        <v>5</v>
      </c>
      <c r="H43" s="56">
        <f t="shared" si="18"/>
        <v>9</v>
      </c>
      <c r="I43" s="56">
        <f t="shared" si="18"/>
        <v>15</v>
      </c>
      <c r="J43" s="56">
        <f t="shared" si="18"/>
        <v>15</v>
      </c>
      <c r="K43" s="56">
        <f t="shared" si="18"/>
        <v>15</v>
      </c>
      <c r="L43" s="56">
        <f t="shared" si="18"/>
        <v>15</v>
      </c>
      <c r="M43" s="56">
        <f t="shared" si="18"/>
        <v>15</v>
      </c>
      <c r="N43" s="56">
        <f t="shared" si="18"/>
        <v>15</v>
      </c>
      <c r="O43" s="56">
        <f t="shared" si="18"/>
        <v>15</v>
      </c>
      <c r="P43" s="56">
        <f t="shared" si="18"/>
        <v>15</v>
      </c>
      <c r="Q43" s="56">
        <f t="shared" si="18"/>
        <v>15</v>
      </c>
      <c r="R43" s="56">
        <f t="shared" si="18"/>
        <v>15</v>
      </c>
      <c r="S43" s="56">
        <f t="shared" si="18"/>
        <v>0</v>
      </c>
      <c r="T43" s="56">
        <f t="shared" si="18"/>
        <v>15</v>
      </c>
      <c r="U43" s="56">
        <f t="shared" si="18"/>
        <v>15</v>
      </c>
      <c r="V43" s="56">
        <f t="shared" si="18"/>
        <v>15</v>
      </c>
      <c r="Y43" s="57"/>
      <c r="Z43" s="58"/>
      <c r="AA43" s="57"/>
      <c r="AB43" s="57"/>
    </row>
    <row r="44" spans="1:28" ht="18.75" customHeight="1">
      <c r="F44" s="73"/>
      <c r="G44" s="59"/>
    </row>
    <row r="45" spans="1:28" ht="18.75" customHeight="1">
      <c r="F45" s="73"/>
      <c r="G45" s="59"/>
    </row>
    <row r="46" spans="1:28" ht="18.75" customHeight="1">
      <c r="F46" s="73"/>
      <c r="G46" s="59"/>
    </row>
    <row r="47" spans="1:28" ht="18.75" customHeight="1">
      <c r="F47" s="73"/>
      <c r="G47" s="59"/>
    </row>
    <row r="48" spans="1:28" ht="18.75" customHeight="1">
      <c r="F48" s="73"/>
      <c r="G48" s="59"/>
    </row>
    <row r="49" spans="6:7" ht="18.75" customHeight="1">
      <c r="F49" s="73"/>
      <c r="G49" s="59"/>
    </row>
    <row r="50" spans="6:7" ht="18.75" customHeight="1">
      <c r="F50" s="73"/>
      <c r="G50" s="59"/>
    </row>
    <row r="51" spans="6:7" ht="18.75" customHeight="1">
      <c r="F51" s="73"/>
      <c r="G51" s="59"/>
    </row>
    <row r="52" spans="6:7" ht="18.75" customHeight="1">
      <c r="F52" s="73"/>
      <c r="G52" s="59"/>
    </row>
    <row r="53" spans="6:7" ht="18.75" customHeight="1">
      <c r="F53" s="73"/>
      <c r="G53" s="59"/>
    </row>
    <row r="54" spans="6:7" ht="18.75" customHeight="1">
      <c r="F54" s="73"/>
      <c r="G54" s="59"/>
    </row>
    <row r="55" spans="6:7" ht="18.75" customHeight="1">
      <c r="F55" s="73"/>
      <c r="G55" s="59"/>
    </row>
    <row r="56" spans="6:7" ht="18.75" customHeight="1">
      <c r="F56" s="73"/>
      <c r="G56" s="59"/>
    </row>
    <row r="57" spans="6:7" ht="18.75" customHeight="1">
      <c r="F57" s="73"/>
      <c r="G57" s="59"/>
    </row>
    <row r="58" spans="6:7" ht="18.75" customHeight="1">
      <c r="F58" s="73"/>
      <c r="G58" s="59"/>
    </row>
    <row r="59" spans="6:7" ht="18.75" customHeight="1">
      <c r="F59" s="73"/>
      <c r="G59" s="59"/>
    </row>
    <row r="60" spans="6:7" ht="18.75" customHeight="1">
      <c r="F60" s="73"/>
      <c r="G60" s="59"/>
    </row>
    <row r="61" spans="6:7" ht="18.75" customHeight="1">
      <c r="F61" s="73"/>
      <c r="G61" s="59"/>
    </row>
    <row r="62" spans="6:7" ht="18.75" customHeight="1">
      <c r="F62" s="73"/>
      <c r="G62" s="59"/>
    </row>
    <row r="63" spans="6:7" ht="18.75" customHeight="1">
      <c r="F63" s="73"/>
      <c r="G63" s="59"/>
    </row>
    <row r="64" spans="6:7" ht="18.75" customHeight="1">
      <c r="F64" s="73"/>
      <c r="G64" s="59"/>
    </row>
    <row r="65" spans="6:7" ht="18.75" customHeight="1">
      <c r="F65" s="73"/>
      <c r="G65" s="59"/>
    </row>
    <row r="66" spans="6:7" ht="18.75" customHeight="1">
      <c r="F66" s="73"/>
      <c r="G66" s="59"/>
    </row>
    <row r="67" spans="6:7" ht="18.75" customHeight="1">
      <c r="F67" s="73"/>
      <c r="G67" s="59"/>
    </row>
    <row r="68" spans="6:7" ht="18.75" customHeight="1">
      <c r="F68" s="73"/>
      <c r="G68" s="59"/>
    </row>
    <row r="69" spans="6:7" ht="18.75" customHeight="1">
      <c r="F69" s="73"/>
      <c r="G69" s="59"/>
    </row>
    <row r="70" spans="6:7" ht="18.75" customHeight="1">
      <c r="F70" s="73"/>
      <c r="G70" s="59"/>
    </row>
    <row r="71" spans="6:7" ht="18.75" customHeight="1">
      <c r="F71" s="73"/>
      <c r="G71" s="59"/>
    </row>
    <row r="72" spans="6:7" ht="18.75" customHeight="1">
      <c r="F72" s="73"/>
      <c r="G72" s="59"/>
    </row>
    <row r="73" spans="6:7" ht="18.75" customHeight="1">
      <c r="F73" s="73"/>
      <c r="G73" s="59"/>
    </row>
    <row r="74" spans="6:7" ht="18.75" customHeight="1">
      <c r="F74" s="73"/>
      <c r="G74" s="59"/>
    </row>
    <row r="75" spans="6:7" ht="18.75" customHeight="1">
      <c r="F75" s="73"/>
      <c r="G75" s="59"/>
    </row>
    <row r="76" spans="6:7" ht="18.75" customHeight="1">
      <c r="F76" s="73"/>
      <c r="G76" s="59"/>
    </row>
    <row r="77" spans="6:7" ht="18.75" customHeight="1">
      <c r="F77" s="73"/>
      <c r="G77" s="59"/>
    </row>
    <row r="78" spans="6:7" ht="18.75" customHeight="1">
      <c r="F78" s="73"/>
      <c r="G78" s="59"/>
    </row>
    <row r="79" spans="6:7" ht="18.75" customHeight="1">
      <c r="F79" s="73"/>
      <c r="G79" s="59"/>
    </row>
    <row r="80" spans="6:7" ht="18.75" customHeight="1">
      <c r="F80" s="73"/>
      <c r="G80" s="59"/>
    </row>
    <row r="81" spans="6:7" ht="18.75" customHeight="1">
      <c r="F81" s="73"/>
      <c r="G81" s="59"/>
    </row>
    <row r="82" spans="6:7" ht="18.75" customHeight="1">
      <c r="F82" s="73"/>
      <c r="G82" s="59"/>
    </row>
    <row r="83" spans="6:7" ht="18.75" customHeight="1">
      <c r="F83" s="73"/>
      <c r="G83" s="59"/>
    </row>
    <row r="84" spans="6:7" ht="18.75" customHeight="1">
      <c r="F84" s="73"/>
      <c r="G84" s="59"/>
    </row>
    <row r="85" spans="6:7" ht="18.75" customHeight="1">
      <c r="F85" s="73"/>
      <c r="G85" s="59"/>
    </row>
    <row r="86" spans="6:7" ht="18.75" customHeight="1">
      <c r="F86" s="73"/>
      <c r="G86" s="59"/>
    </row>
    <row r="87" spans="6:7" ht="18.75" customHeight="1">
      <c r="F87" s="73"/>
      <c r="G87" s="59"/>
    </row>
    <row r="88" spans="6:7" ht="18.75" customHeight="1">
      <c r="F88" s="73"/>
      <c r="G88" s="59"/>
    </row>
    <row r="89" spans="6:7" ht="18.75" customHeight="1">
      <c r="F89" s="73"/>
      <c r="G89" s="59"/>
    </row>
    <row r="90" spans="6:7" ht="18.75" customHeight="1">
      <c r="F90" s="73"/>
      <c r="G90" s="59"/>
    </row>
    <row r="91" spans="6:7" ht="18.75" customHeight="1">
      <c r="F91" s="73"/>
      <c r="G91" s="59"/>
    </row>
    <row r="92" spans="6:7" ht="18.75" customHeight="1">
      <c r="F92" s="73"/>
      <c r="G92" s="59"/>
    </row>
    <row r="93" spans="6:7" ht="18.75" customHeight="1">
      <c r="F93" s="73"/>
      <c r="G93" s="59"/>
    </row>
    <row r="94" spans="6:7" ht="18.75" customHeight="1">
      <c r="F94" s="73"/>
      <c r="G94" s="59"/>
    </row>
    <row r="95" spans="6:7" ht="18.75" customHeight="1">
      <c r="F95" s="73"/>
      <c r="G95" s="59"/>
    </row>
    <row r="96" spans="6:7" ht="18.75" customHeight="1">
      <c r="F96" s="73"/>
      <c r="G96" s="59"/>
    </row>
    <row r="97" spans="6:7" ht="18.75" customHeight="1">
      <c r="F97" s="73"/>
      <c r="G97" s="59"/>
    </row>
    <row r="98" spans="6:7" ht="18.75" customHeight="1">
      <c r="F98" s="73"/>
      <c r="G98" s="59"/>
    </row>
    <row r="99" spans="6:7" ht="18.75" customHeight="1">
      <c r="F99" s="73"/>
      <c r="G99" s="59"/>
    </row>
    <row r="100" spans="6:7" ht="18.75" customHeight="1">
      <c r="F100" s="73"/>
      <c r="G100" s="59"/>
    </row>
    <row r="101" spans="6:7" ht="18.75" customHeight="1">
      <c r="F101" s="73"/>
      <c r="G101" s="59"/>
    </row>
    <row r="102" spans="6:7" ht="18.75" customHeight="1">
      <c r="F102" s="73"/>
      <c r="G102" s="59"/>
    </row>
    <row r="103" spans="6:7" ht="18.75" customHeight="1">
      <c r="F103" s="73"/>
      <c r="G103" s="59"/>
    </row>
    <row r="104" spans="6:7" ht="18.75" customHeight="1">
      <c r="F104" s="73"/>
      <c r="G104" s="59"/>
    </row>
    <row r="105" spans="6:7" ht="18.75" customHeight="1">
      <c r="F105" s="73"/>
      <c r="G105" s="59"/>
    </row>
    <row r="106" spans="6:7" ht="18.75" customHeight="1">
      <c r="F106" s="73"/>
      <c r="G106" s="59"/>
    </row>
    <row r="107" spans="6:7" ht="18.75" customHeight="1">
      <c r="F107" s="73"/>
      <c r="G107" s="59"/>
    </row>
    <row r="108" spans="6:7" ht="18.75" customHeight="1">
      <c r="F108" s="73"/>
      <c r="G108" s="59"/>
    </row>
    <row r="109" spans="6:7" ht="18.75" customHeight="1">
      <c r="F109" s="73"/>
      <c r="G109" s="59"/>
    </row>
    <row r="110" spans="6:7" ht="18.75" customHeight="1">
      <c r="F110" s="73"/>
      <c r="G110" s="59"/>
    </row>
    <row r="111" spans="6:7" ht="18.75" customHeight="1">
      <c r="F111" s="73"/>
      <c r="G111" s="59"/>
    </row>
    <row r="112" spans="6:7" ht="18.75" customHeight="1">
      <c r="F112" s="73"/>
      <c r="G112" s="59"/>
    </row>
    <row r="113" spans="6:7" ht="18.75" customHeight="1">
      <c r="F113" s="73"/>
      <c r="G113" s="59"/>
    </row>
    <row r="114" spans="6:7" ht="18.75" customHeight="1">
      <c r="F114" s="73"/>
      <c r="G114" s="59"/>
    </row>
    <row r="115" spans="6:7" ht="18.75" customHeight="1">
      <c r="F115" s="73"/>
      <c r="G115" s="59"/>
    </row>
    <row r="116" spans="6:7" ht="18.75" customHeight="1">
      <c r="F116" s="73"/>
      <c r="G116" s="59"/>
    </row>
    <row r="117" spans="6:7" ht="18.75" customHeight="1">
      <c r="F117" s="73"/>
      <c r="G117" s="59"/>
    </row>
    <row r="118" spans="6:7" ht="18.75" customHeight="1">
      <c r="F118" s="73"/>
      <c r="G118" s="59"/>
    </row>
    <row r="119" spans="6:7" ht="18.75" customHeight="1">
      <c r="F119" s="73"/>
      <c r="G119" s="59"/>
    </row>
    <row r="120" spans="6:7" ht="18.75" customHeight="1">
      <c r="F120" s="73"/>
      <c r="G120" s="59"/>
    </row>
    <row r="121" spans="6:7" ht="18.75" customHeight="1">
      <c r="F121" s="73"/>
      <c r="G121" s="59"/>
    </row>
    <row r="122" spans="6:7" ht="18.75" customHeight="1">
      <c r="F122" s="73"/>
      <c r="G122" s="59"/>
    </row>
    <row r="123" spans="6:7" ht="18.75" customHeight="1">
      <c r="F123" s="73"/>
      <c r="G123" s="59"/>
    </row>
    <row r="124" spans="6:7" ht="18.75" customHeight="1">
      <c r="F124" s="73"/>
      <c r="G124" s="59"/>
    </row>
    <row r="125" spans="6:7" ht="18.75" customHeight="1">
      <c r="F125" s="73"/>
      <c r="G125" s="59"/>
    </row>
    <row r="126" spans="6:7" ht="18.75" customHeight="1">
      <c r="F126" s="73"/>
      <c r="G126" s="59"/>
    </row>
    <row r="127" spans="6:7" ht="18.75" customHeight="1">
      <c r="F127" s="73"/>
      <c r="G127" s="59"/>
    </row>
    <row r="128" spans="6:7" ht="18.75" customHeight="1">
      <c r="F128" s="73"/>
      <c r="G128" s="59"/>
    </row>
    <row r="129" spans="6:7" ht="18.75" customHeight="1">
      <c r="F129" s="73"/>
      <c r="G129" s="59"/>
    </row>
    <row r="130" spans="6:7" ht="18.75" customHeight="1">
      <c r="F130" s="73"/>
      <c r="G130" s="59"/>
    </row>
    <row r="131" spans="6:7" ht="18.75" customHeight="1">
      <c r="F131" s="73"/>
      <c r="G131" s="59"/>
    </row>
    <row r="132" spans="6:7" ht="18.75" customHeight="1">
      <c r="F132" s="73"/>
      <c r="G132" s="59"/>
    </row>
    <row r="133" spans="6:7" ht="18.75" customHeight="1">
      <c r="F133" s="73"/>
      <c r="G133" s="59"/>
    </row>
    <row r="134" spans="6:7" ht="18.75" customHeight="1">
      <c r="F134" s="73"/>
      <c r="G134" s="59"/>
    </row>
    <row r="135" spans="6:7" ht="18.75" customHeight="1">
      <c r="F135" s="73"/>
      <c r="G135" s="59"/>
    </row>
    <row r="136" spans="6:7" ht="18.75" customHeight="1">
      <c r="F136" s="73"/>
      <c r="G136" s="59"/>
    </row>
    <row r="137" spans="6:7" ht="18.75" customHeight="1">
      <c r="F137" s="73"/>
      <c r="G137" s="59"/>
    </row>
    <row r="138" spans="6:7" ht="18.75" customHeight="1">
      <c r="F138" s="73"/>
      <c r="G138" s="59"/>
    </row>
    <row r="139" spans="6:7" ht="18.75" customHeight="1">
      <c r="F139" s="73"/>
      <c r="G139" s="59"/>
    </row>
    <row r="140" spans="6:7" ht="18.75" customHeight="1">
      <c r="F140" s="73"/>
      <c r="G140" s="59"/>
    </row>
    <row r="141" spans="6:7" ht="18.75" customHeight="1">
      <c r="F141" s="73"/>
      <c r="G141" s="59"/>
    </row>
    <row r="142" spans="6:7" ht="18.75" customHeight="1">
      <c r="F142" s="73"/>
      <c r="G142" s="59"/>
    </row>
    <row r="143" spans="6:7" ht="18.75" customHeight="1">
      <c r="F143" s="73"/>
      <c r="G143" s="59"/>
    </row>
    <row r="144" spans="6:7" ht="18.75" customHeight="1">
      <c r="F144" s="73"/>
      <c r="G144" s="59"/>
    </row>
    <row r="145" spans="6:7" ht="18.75" customHeight="1">
      <c r="F145" s="73"/>
      <c r="G145" s="59"/>
    </row>
    <row r="146" spans="6:7" ht="18.75" customHeight="1">
      <c r="F146" s="73"/>
      <c r="G146" s="59"/>
    </row>
    <row r="147" spans="6:7" ht="18.75" customHeight="1">
      <c r="F147" s="73"/>
      <c r="G147" s="59"/>
    </row>
    <row r="148" spans="6:7" ht="18.75" customHeight="1">
      <c r="F148" s="73"/>
      <c r="G148" s="59"/>
    </row>
    <row r="149" spans="6:7" ht="18.75" customHeight="1">
      <c r="F149" s="73"/>
      <c r="G149" s="59"/>
    </row>
    <row r="150" spans="6:7" ht="18.75" customHeight="1">
      <c r="F150" s="73"/>
      <c r="G150" s="59"/>
    </row>
    <row r="151" spans="6:7" ht="18.75" customHeight="1">
      <c r="F151" s="73"/>
      <c r="G151" s="59"/>
    </row>
    <row r="152" spans="6:7" ht="18.75" customHeight="1">
      <c r="F152" s="73"/>
      <c r="G152" s="59"/>
    </row>
    <row r="153" spans="6:7" ht="18.75" customHeight="1">
      <c r="F153" s="73"/>
      <c r="G153" s="59"/>
    </row>
    <row r="154" spans="6:7" ht="18.75" customHeight="1">
      <c r="F154" s="73"/>
      <c r="G154" s="59"/>
    </row>
    <row r="155" spans="6:7" ht="18.75" customHeight="1">
      <c r="F155" s="73"/>
      <c r="G155" s="59"/>
    </row>
    <row r="156" spans="6:7" ht="18.75" customHeight="1">
      <c r="F156" s="73"/>
      <c r="G156" s="59"/>
    </row>
    <row r="157" spans="6:7" ht="18.75" customHeight="1">
      <c r="F157" s="73"/>
      <c r="G157" s="59"/>
    </row>
    <row r="158" spans="6:7" ht="18.75" customHeight="1">
      <c r="F158" s="73"/>
      <c r="G158" s="59"/>
    </row>
    <row r="159" spans="6:7" ht="18.75" customHeight="1">
      <c r="F159" s="73"/>
      <c r="G159" s="59"/>
    </row>
    <row r="160" spans="6:7" ht="18.75" customHeight="1">
      <c r="F160" s="73"/>
      <c r="G160" s="59"/>
    </row>
    <row r="161" spans="6:7" ht="18.75" customHeight="1">
      <c r="F161" s="73"/>
      <c r="G161" s="59"/>
    </row>
    <row r="162" spans="6:7" ht="18.75" customHeight="1">
      <c r="F162" s="73"/>
      <c r="G162" s="59"/>
    </row>
    <row r="163" spans="6:7" ht="18.75" customHeight="1">
      <c r="F163" s="73"/>
      <c r="G163" s="59"/>
    </row>
    <row r="164" spans="6:7" ht="18.75" customHeight="1">
      <c r="F164" s="73"/>
      <c r="G164" s="59"/>
    </row>
    <row r="165" spans="6:7" ht="18.75" customHeight="1">
      <c r="F165" s="73"/>
      <c r="G165" s="59"/>
    </row>
    <row r="166" spans="6:7" ht="18.75" customHeight="1">
      <c r="F166" s="73"/>
      <c r="G166" s="59"/>
    </row>
    <row r="167" spans="6:7" ht="18.75" customHeight="1">
      <c r="F167" s="73"/>
      <c r="G167" s="59"/>
    </row>
    <row r="168" spans="6:7" ht="18.75" customHeight="1">
      <c r="F168" s="73"/>
      <c r="G168" s="59"/>
    </row>
    <row r="169" spans="6:7" ht="18.75" customHeight="1">
      <c r="F169" s="73"/>
      <c r="G169" s="59"/>
    </row>
    <row r="170" spans="6:7" ht="18.75" customHeight="1">
      <c r="F170" s="73"/>
      <c r="G170" s="59"/>
    </row>
    <row r="171" spans="6:7" ht="18.75" customHeight="1">
      <c r="F171" s="73"/>
      <c r="G171" s="59"/>
    </row>
    <row r="172" spans="6:7" ht="18.75" customHeight="1">
      <c r="F172" s="73"/>
      <c r="G172" s="59"/>
    </row>
    <row r="173" spans="6:7" ht="18.75" customHeight="1">
      <c r="F173" s="73"/>
      <c r="G173" s="59"/>
    </row>
    <row r="174" spans="6:7" ht="18.75" customHeight="1">
      <c r="F174" s="73"/>
      <c r="G174" s="59"/>
    </row>
    <row r="175" spans="6:7" ht="18.75" customHeight="1">
      <c r="F175" s="73"/>
      <c r="G175" s="59"/>
    </row>
    <row r="176" spans="6:7" ht="18.75" customHeight="1">
      <c r="F176" s="73"/>
      <c r="G176" s="59"/>
    </row>
    <row r="177" spans="6:7" ht="18.75" customHeight="1">
      <c r="F177" s="73"/>
      <c r="G177" s="59"/>
    </row>
    <row r="178" spans="6:7" ht="18.75" customHeight="1">
      <c r="F178" s="73"/>
      <c r="G178" s="59"/>
    </row>
    <row r="179" spans="6:7" ht="18.75" customHeight="1">
      <c r="F179" s="73"/>
      <c r="G179" s="59"/>
    </row>
    <row r="180" spans="6:7" ht="18.75" customHeight="1">
      <c r="F180" s="73"/>
      <c r="G180" s="59"/>
    </row>
    <row r="181" spans="6:7" ht="18.75" customHeight="1">
      <c r="F181" s="73"/>
      <c r="G181" s="59"/>
    </row>
    <row r="182" spans="6:7" ht="18.75" customHeight="1">
      <c r="F182" s="73"/>
      <c r="G182" s="59"/>
    </row>
    <row r="183" spans="6:7" ht="18.75" customHeight="1">
      <c r="F183" s="73"/>
      <c r="G183" s="59"/>
    </row>
    <row r="184" spans="6:7" ht="18.75" customHeight="1">
      <c r="F184" s="73"/>
      <c r="G184" s="59"/>
    </row>
    <row r="185" spans="6:7" ht="18.75" customHeight="1">
      <c r="F185" s="73"/>
      <c r="G185" s="59"/>
    </row>
    <row r="186" spans="6:7" ht="18.75" customHeight="1">
      <c r="F186" s="73"/>
      <c r="G186" s="59"/>
    </row>
    <row r="187" spans="6:7" ht="18.75" customHeight="1">
      <c r="F187" s="73"/>
      <c r="G187" s="59"/>
    </row>
    <row r="188" spans="6:7" ht="18.75" customHeight="1">
      <c r="F188" s="73"/>
      <c r="G188" s="59"/>
    </row>
    <row r="189" spans="6:7" ht="18.75" customHeight="1">
      <c r="F189" s="73"/>
      <c r="G189" s="59"/>
    </row>
    <row r="190" spans="6:7" ht="18.75" customHeight="1">
      <c r="F190" s="73"/>
      <c r="G190" s="59"/>
    </row>
    <row r="191" spans="6:7" ht="18.75" customHeight="1">
      <c r="F191" s="73"/>
      <c r="G191" s="59"/>
    </row>
    <row r="192" spans="6:7" ht="18.75" customHeight="1">
      <c r="F192" s="73"/>
      <c r="G192" s="59"/>
    </row>
    <row r="193" spans="6:7" ht="18.75" customHeight="1">
      <c r="F193" s="73"/>
      <c r="G193" s="59"/>
    </row>
    <row r="194" spans="6:7" ht="18.75" customHeight="1">
      <c r="F194" s="73"/>
      <c r="G194" s="59"/>
    </row>
    <row r="195" spans="6:7" ht="18.75" customHeight="1">
      <c r="F195" s="73"/>
      <c r="G195" s="59"/>
    </row>
    <row r="196" spans="6:7" ht="18.75" customHeight="1">
      <c r="F196" s="73"/>
      <c r="G196" s="59"/>
    </row>
    <row r="197" spans="6:7" ht="18.75" customHeight="1">
      <c r="F197" s="73"/>
      <c r="G197" s="59"/>
    </row>
    <row r="198" spans="6:7" ht="18.75" customHeight="1">
      <c r="F198" s="73"/>
      <c r="G198" s="59"/>
    </row>
    <row r="199" spans="6:7" ht="18.75" customHeight="1">
      <c r="F199" s="73"/>
      <c r="G199" s="59"/>
    </row>
    <row r="200" spans="6:7" ht="18.75" customHeight="1">
      <c r="F200" s="73"/>
      <c r="G200" s="59"/>
    </row>
    <row r="201" spans="6:7" ht="18.75" customHeight="1">
      <c r="F201" s="73"/>
      <c r="G201" s="59"/>
    </row>
    <row r="202" spans="6:7" ht="18.75" customHeight="1">
      <c r="F202" s="73"/>
      <c r="G202" s="59"/>
    </row>
    <row r="203" spans="6:7" ht="18.75" customHeight="1">
      <c r="F203" s="73"/>
      <c r="G203" s="59"/>
    </row>
    <row r="204" spans="6:7" ht="18.75" customHeight="1">
      <c r="F204" s="73"/>
      <c r="G204" s="59"/>
    </row>
    <row r="205" spans="6:7" ht="18.75" customHeight="1">
      <c r="F205" s="73"/>
      <c r="G205" s="59"/>
    </row>
    <row r="206" spans="6:7" ht="18.75" customHeight="1">
      <c r="F206" s="73"/>
      <c r="G206" s="59"/>
    </row>
    <row r="207" spans="6:7" ht="18.75" customHeight="1">
      <c r="F207" s="73"/>
      <c r="G207" s="59"/>
    </row>
    <row r="208" spans="6:7" ht="18.75" customHeight="1">
      <c r="F208" s="73"/>
      <c r="G208" s="59"/>
    </row>
    <row r="209" spans="6:7" ht="18.75" customHeight="1">
      <c r="F209" s="73"/>
      <c r="G209" s="59"/>
    </row>
    <row r="210" spans="6:7" ht="18.75" customHeight="1">
      <c r="F210" s="73"/>
      <c r="G210" s="59"/>
    </row>
    <row r="211" spans="6:7" ht="18.75" customHeight="1">
      <c r="F211" s="73"/>
      <c r="G211" s="59"/>
    </row>
    <row r="212" spans="6:7" ht="18.75" customHeight="1">
      <c r="F212" s="73"/>
      <c r="G212" s="59"/>
    </row>
    <row r="213" spans="6:7" ht="18.75" customHeight="1">
      <c r="F213" s="73"/>
      <c r="G213" s="59"/>
    </row>
    <row r="214" spans="6:7" ht="18.75" customHeight="1">
      <c r="F214" s="73"/>
      <c r="G214" s="59"/>
    </row>
    <row r="215" spans="6:7" ht="18.75" customHeight="1">
      <c r="F215" s="73"/>
      <c r="G215" s="59"/>
    </row>
    <row r="216" spans="6:7" ht="18.75" customHeight="1">
      <c r="F216" s="73"/>
      <c r="G216" s="59"/>
    </row>
    <row r="217" spans="6:7" ht="18.75" customHeight="1">
      <c r="F217" s="73"/>
      <c r="G217" s="59"/>
    </row>
    <row r="218" spans="6:7" ht="18.75" customHeight="1">
      <c r="F218" s="73"/>
      <c r="G218" s="59"/>
    </row>
    <row r="219" spans="6:7" ht="18.75" customHeight="1">
      <c r="F219" s="73"/>
      <c r="G219" s="59"/>
    </row>
    <row r="220" spans="6:7" ht="18.75" customHeight="1">
      <c r="F220" s="73"/>
      <c r="G220" s="59"/>
    </row>
    <row r="221" spans="6:7" ht="18.75" customHeight="1">
      <c r="F221" s="73"/>
      <c r="G221" s="59"/>
    </row>
    <row r="222" spans="6:7" ht="18.75" customHeight="1">
      <c r="F222" s="73"/>
      <c r="G222" s="59"/>
    </row>
    <row r="223" spans="6:7" ht="18.75" customHeight="1">
      <c r="F223" s="73"/>
      <c r="G223" s="59"/>
    </row>
    <row r="224" spans="6:7" ht="18.75" customHeight="1">
      <c r="F224" s="73"/>
      <c r="G224" s="59"/>
    </row>
    <row r="225" spans="6:7" ht="18.75" customHeight="1">
      <c r="F225" s="73"/>
      <c r="G225" s="59"/>
    </row>
    <row r="226" spans="6:7" ht="18.75" customHeight="1">
      <c r="F226" s="73"/>
      <c r="G226" s="59"/>
    </row>
    <row r="227" spans="6:7" ht="18.75" customHeight="1">
      <c r="F227" s="73"/>
      <c r="G227" s="59"/>
    </row>
    <row r="228" spans="6:7" ht="18.75" customHeight="1">
      <c r="F228" s="73"/>
      <c r="G228" s="59"/>
    </row>
    <row r="229" spans="6:7" ht="18.75" customHeight="1">
      <c r="F229" s="73"/>
      <c r="G229" s="59"/>
    </row>
    <row r="230" spans="6:7" ht="18.75" customHeight="1">
      <c r="F230" s="73"/>
      <c r="G230" s="59"/>
    </row>
    <row r="231" spans="6:7" ht="18.75" customHeight="1">
      <c r="F231" s="73"/>
      <c r="G231" s="59"/>
    </row>
    <row r="232" spans="6:7" ht="18.75" customHeight="1">
      <c r="F232" s="73"/>
      <c r="G232" s="59"/>
    </row>
    <row r="233" spans="6:7" ht="18.75" customHeight="1">
      <c r="F233" s="73"/>
      <c r="G233" s="59"/>
    </row>
    <row r="234" spans="6:7" ht="18.75" customHeight="1">
      <c r="F234" s="73"/>
      <c r="G234" s="59"/>
    </row>
    <row r="235" spans="6:7" ht="18.75" customHeight="1">
      <c r="F235" s="73"/>
      <c r="G235" s="59"/>
    </row>
    <row r="236" spans="6:7" ht="18.75" customHeight="1">
      <c r="F236" s="73"/>
      <c r="G236" s="59"/>
    </row>
    <row r="237" spans="6:7" ht="18.75" customHeight="1">
      <c r="F237" s="73"/>
      <c r="G237" s="59"/>
    </row>
    <row r="238" spans="6:7" ht="18.75" customHeight="1">
      <c r="F238" s="73"/>
      <c r="G238" s="59"/>
    </row>
    <row r="239" spans="6:7" ht="18.75" customHeight="1">
      <c r="F239" s="73"/>
      <c r="G239" s="59"/>
    </row>
    <row r="240" spans="6:7" ht="18.75" customHeight="1">
      <c r="F240" s="73"/>
      <c r="G240" s="59"/>
    </row>
    <row r="241" spans="6:7" ht="18.75" customHeight="1">
      <c r="F241" s="73"/>
      <c r="G241" s="59"/>
    </row>
    <row r="242" spans="6:7" ht="18.75" customHeight="1">
      <c r="F242" s="73"/>
      <c r="G242" s="59"/>
    </row>
    <row r="243" spans="6:7" ht="18.75" customHeight="1">
      <c r="F243" s="73"/>
      <c r="G243" s="59"/>
    </row>
    <row r="244" spans="6:7" ht="15.75" customHeight="1"/>
    <row r="245" spans="6:7" ht="15.75" customHeight="1"/>
    <row r="246" spans="6:7" ht="15.75" customHeight="1"/>
    <row r="247" spans="6:7" ht="15.75" customHeight="1"/>
    <row r="248" spans="6:7" ht="15.75" customHeight="1"/>
    <row r="249" spans="6:7" ht="15.75" customHeight="1"/>
    <row r="250" spans="6:7" ht="15.75" customHeight="1"/>
    <row r="251" spans="6:7" ht="15.75" customHeight="1"/>
    <row r="252" spans="6:7" ht="15.75" customHeight="1"/>
    <row r="253" spans="6:7" ht="15.75" customHeight="1"/>
    <row r="254" spans="6:7" ht="15.75" customHeight="1"/>
    <row r="255" spans="6:7" ht="15.75" customHeight="1"/>
    <row r="256" spans="6:7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22">
    <mergeCell ref="A1:C1"/>
    <mergeCell ref="D1:E1"/>
    <mergeCell ref="F1:W1"/>
    <mergeCell ref="A2:C2"/>
    <mergeCell ref="A3:B3"/>
    <mergeCell ref="B33:C33"/>
    <mergeCell ref="B37:C37"/>
    <mergeCell ref="B41:C41"/>
    <mergeCell ref="B4:C4"/>
    <mergeCell ref="B7:C7"/>
    <mergeCell ref="B21:C21"/>
    <mergeCell ref="B23:C23"/>
    <mergeCell ref="B26:C26"/>
    <mergeCell ref="B11:C11"/>
    <mergeCell ref="B14:C14"/>
    <mergeCell ref="A17:B17"/>
    <mergeCell ref="B18:C18"/>
    <mergeCell ref="Z18:AA18"/>
    <mergeCell ref="Z19:AA20"/>
    <mergeCell ref="Z21:AA22"/>
    <mergeCell ref="A29:B29"/>
    <mergeCell ref="B30:C30"/>
  </mergeCells>
  <conditionalFormatting sqref="D4 D7 D18 D21 D30 D33">
    <cfRule type="cellIs" dxfId="111" priority="1" operator="equal">
      <formula>0</formula>
    </cfRule>
  </conditionalFormatting>
  <conditionalFormatting sqref="D41:W41">
    <cfRule type="cellIs" dxfId="110" priority="2" operator="equal">
      <formula>0</formula>
    </cfRule>
  </conditionalFormatting>
  <conditionalFormatting sqref="E4:E10 E18:E22 E30:E36">
    <cfRule type="expression" dxfId="109" priority="3">
      <formula>E4&lt;D4</formula>
    </cfRule>
  </conditionalFormatting>
  <conditionalFormatting sqref="E4:E10 E18:E22 E30:E36">
    <cfRule type="expression" dxfId="108" priority="4">
      <formula>E4&gt;D4</formula>
    </cfRule>
  </conditionalFormatting>
  <conditionalFormatting sqref="E4:E10 E18:E22 E30:E36">
    <cfRule type="cellIs" dxfId="107" priority="5" operator="greaterThan">
      <formula>"D5"</formula>
    </cfRule>
  </conditionalFormatting>
  <conditionalFormatting sqref="E4:E10 E18:E22 E30:E36">
    <cfRule type="cellIs" dxfId="106" priority="6" operator="equal">
      <formula>0</formula>
    </cfRule>
  </conditionalFormatting>
  <conditionalFormatting sqref="V4:W4 F7:W7 F18:W18 F21:W21 F30:W30 F33:W33 D41:W41">
    <cfRule type="cellIs" dxfId="105" priority="7" operator="equal">
      <formula>0</formula>
    </cfRule>
  </conditionalFormatting>
  <conditionalFormatting sqref="X4:X10 X18:X22 X30:X36">
    <cfRule type="cellIs" dxfId="104" priority="8" operator="equal">
      <formula>"Complete"</formula>
    </cfRule>
  </conditionalFormatting>
  <conditionalFormatting sqref="X4:X10 X18:X22 X30:X36">
    <cfRule type="cellIs" dxfId="103" priority="9" operator="equal">
      <formula>"Early &amp; Complete"</formula>
    </cfRule>
  </conditionalFormatting>
  <conditionalFormatting sqref="X4:X10 X18:X22 X30:X36">
    <cfRule type="cellIs" dxfId="102" priority="10" operator="equal">
      <formula>"Ontime (In Progress)"</formula>
    </cfRule>
  </conditionalFormatting>
  <conditionalFormatting sqref="X4:X10 X18:X22 X30:X36">
    <cfRule type="cellIs" dxfId="101" priority="11" operator="equal">
      <formula>"Late (In Progress)"</formula>
    </cfRule>
  </conditionalFormatting>
  <conditionalFormatting sqref="X4:X10 X18:X22 X30:X36">
    <cfRule type="cellIs" dxfId="100" priority="12" operator="equal">
      <formula>"Very Late (In Progress)"</formula>
    </cfRule>
  </conditionalFormatting>
  <conditionalFormatting sqref="X4:X10 X18:X22 X30:X36">
    <cfRule type="cellIs" dxfId="99" priority="13" operator="equal">
      <formula>"Not Started"</formula>
    </cfRule>
  </conditionalFormatting>
  <conditionalFormatting sqref="X4:X10 X18:X22 X30:X36">
    <cfRule type="cellIs" dxfId="98" priority="14" operator="equal">
      <formula>"Late &amp; Complete"</formula>
    </cfRule>
  </conditionalFormatting>
  <conditionalFormatting sqref="X4:X10 X18:X22 X30:X36">
    <cfRule type="cellIs" dxfId="97" priority="15" operator="equal">
      <formula>"Very Late &amp; Complete"</formula>
    </cfRule>
  </conditionalFormatting>
  <conditionalFormatting sqref="E14:E16">
    <cfRule type="expression" dxfId="96" priority="16">
      <formula>E14&lt;D14</formula>
    </cfRule>
  </conditionalFormatting>
  <conditionalFormatting sqref="E14:E16">
    <cfRule type="expression" dxfId="95" priority="17">
      <formula>E14&gt;D14</formula>
    </cfRule>
  </conditionalFormatting>
  <conditionalFormatting sqref="E14:E16">
    <cfRule type="cellIs" dxfId="94" priority="18" operator="greaterThan">
      <formula>"D5"</formula>
    </cfRule>
  </conditionalFormatting>
  <conditionalFormatting sqref="E14:E16">
    <cfRule type="cellIs" dxfId="93" priority="19" operator="equal">
      <formula>0</formula>
    </cfRule>
  </conditionalFormatting>
  <conditionalFormatting sqref="F14:W14">
    <cfRule type="cellIs" dxfId="92" priority="20" operator="equal">
      <formula>0</formula>
    </cfRule>
  </conditionalFormatting>
  <conditionalFormatting sqref="X14:X16">
    <cfRule type="cellIs" dxfId="91" priority="21" operator="equal">
      <formula>"Complete"</formula>
    </cfRule>
  </conditionalFormatting>
  <conditionalFormatting sqref="X14:X16">
    <cfRule type="cellIs" dxfId="90" priority="22" operator="equal">
      <formula>"Early &amp; Complete"</formula>
    </cfRule>
  </conditionalFormatting>
  <conditionalFormatting sqref="X14:X16">
    <cfRule type="cellIs" dxfId="89" priority="23" operator="equal">
      <formula>"Ontime (In Progress)"</formula>
    </cfRule>
  </conditionalFormatting>
  <conditionalFormatting sqref="X14:X16">
    <cfRule type="cellIs" dxfId="88" priority="24" operator="equal">
      <formula>"Late (In Progress)"</formula>
    </cfRule>
  </conditionalFormatting>
  <conditionalFormatting sqref="X14:X16">
    <cfRule type="cellIs" dxfId="87" priority="25" operator="equal">
      <formula>"Very Late (In Progress)"</formula>
    </cfRule>
  </conditionalFormatting>
  <conditionalFormatting sqref="X14:X16">
    <cfRule type="cellIs" dxfId="86" priority="26" operator="equal">
      <formula>"Not Started"</formula>
    </cfRule>
  </conditionalFormatting>
  <conditionalFormatting sqref="X14:X16">
    <cfRule type="cellIs" dxfId="85" priority="27" operator="equal">
      <formula>"Late &amp; Complete"</formula>
    </cfRule>
  </conditionalFormatting>
  <conditionalFormatting sqref="X14:X16">
    <cfRule type="cellIs" dxfId="84" priority="28" operator="equal">
      <formula>"Very Late &amp; Complete"</formula>
    </cfRule>
  </conditionalFormatting>
  <conditionalFormatting sqref="E23:E25">
    <cfRule type="expression" dxfId="83" priority="29">
      <formula>E23&lt;D23</formula>
    </cfRule>
  </conditionalFormatting>
  <conditionalFormatting sqref="E23:E25">
    <cfRule type="expression" dxfId="82" priority="30">
      <formula>E23&gt;D23</formula>
    </cfRule>
  </conditionalFormatting>
  <conditionalFormatting sqref="E23:E25">
    <cfRule type="cellIs" dxfId="81" priority="31" operator="greaterThan">
      <formula>"D5"</formula>
    </cfRule>
  </conditionalFormatting>
  <conditionalFormatting sqref="E23:E25">
    <cfRule type="cellIs" dxfId="80" priority="32" operator="equal">
      <formula>0</formula>
    </cfRule>
  </conditionalFormatting>
  <conditionalFormatting sqref="F23:O23 Q23:R23 T23:W23">
    <cfRule type="cellIs" dxfId="79" priority="33" operator="equal">
      <formula>0</formula>
    </cfRule>
  </conditionalFormatting>
  <conditionalFormatting sqref="X23:X25">
    <cfRule type="cellIs" dxfId="78" priority="34" operator="equal">
      <formula>"Complete"</formula>
    </cfRule>
  </conditionalFormatting>
  <conditionalFormatting sqref="X23:X25">
    <cfRule type="cellIs" dxfId="77" priority="35" operator="equal">
      <formula>"Early &amp; Complete"</formula>
    </cfRule>
  </conditionalFormatting>
  <conditionalFormatting sqref="X23:X25">
    <cfRule type="cellIs" dxfId="76" priority="36" operator="equal">
      <formula>"Ontime (In Progress)"</formula>
    </cfRule>
  </conditionalFormatting>
  <conditionalFormatting sqref="X23:X25">
    <cfRule type="cellIs" dxfId="75" priority="37" operator="equal">
      <formula>"Late (In Progress)"</formula>
    </cfRule>
  </conditionalFormatting>
  <conditionalFormatting sqref="X23:X25">
    <cfRule type="cellIs" dxfId="74" priority="38" operator="equal">
      <formula>"Very Late (In Progress)"</formula>
    </cfRule>
  </conditionalFormatting>
  <conditionalFormatting sqref="X23:X25">
    <cfRule type="cellIs" dxfId="73" priority="39" operator="equal">
      <formula>"Not Started"</formula>
    </cfRule>
  </conditionalFormatting>
  <conditionalFormatting sqref="X23:X25">
    <cfRule type="cellIs" dxfId="72" priority="40" operator="equal">
      <formula>"Late &amp; Complete"</formula>
    </cfRule>
  </conditionalFormatting>
  <conditionalFormatting sqref="X23:X25">
    <cfRule type="cellIs" dxfId="71" priority="41" operator="equal">
      <formula>"Very Late &amp; Complete"</formula>
    </cfRule>
  </conditionalFormatting>
  <conditionalFormatting sqref="E26:E28">
    <cfRule type="expression" dxfId="70" priority="42">
      <formula>E26&lt;D26</formula>
    </cfRule>
  </conditionalFormatting>
  <conditionalFormatting sqref="E26:E28">
    <cfRule type="expression" dxfId="69" priority="43">
      <formula>E26&gt;D26</formula>
    </cfRule>
  </conditionalFormatting>
  <conditionalFormatting sqref="E26:E28">
    <cfRule type="cellIs" dxfId="68" priority="44" operator="greaterThan">
      <formula>"D5"</formula>
    </cfRule>
  </conditionalFormatting>
  <conditionalFormatting sqref="E26:E28">
    <cfRule type="cellIs" dxfId="67" priority="45" operator="equal">
      <formula>0</formula>
    </cfRule>
  </conditionalFormatting>
  <conditionalFormatting sqref="F26:O26 Q26:R26 T26:W26">
    <cfRule type="cellIs" dxfId="66" priority="46" operator="equal">
      <formula>0</formula>
    </cfRule>
  </conditionalFormatting>
  <conditionalFormatting sqref="X26:X28">
    <cfRule type="cellIs" dxfId="65" priority="47" operator="equal">
      <formula>"Complete"</formula>
    </cfRule>
  </conditionalFormatting>
  <conditionalFormatting sqref="X26:X28">
    <cfRule type="cellIs" dxfId="64" priority="48" operator="equal">
      <formula>"Early &amp; Complete"</formula>
    </cfRule>
  </conditionalFormatting>
  <conditionalFormatting sqref="X26:X28">
    <cfRule type="cellIs" dxfId="63" priority="49" operator="equal">
      <formula>"Ontime (In Progress)"</formula>
    </cfRule>
  </conditionalFormatting>
  <conditionalFormatting sqref="X26:X28">
    <cfRule type="cellIs" dxfId="62" priority="50" operator="equal">
      <formula>"Late (In Progress)"</formula>
    </cfRule>
  </conditionalFormatting>
  <conditionalFormatting sqref="X26:X28">
    <cfRule type="cellIs" dxfId="61" priority="51" operator="equal">
      <formula>"Very Late (In Progress)"</formula>
    </cfRule>
  </conditionalFormatting>
  <conditionalFormatting sqref="X26:X28">
    <cfRule type="cellIs" dxfId="60" priority="52" operator="equal">
      <formula>"Not Started"</formula>
    </cfRule>
  </conditionalFormatting>
  <conditionalFormatting sqref="X26:X28">
    <cfRule type="cellIs" dxfId="59" priority="53" operator="equal">
      <formula>"Late &amp; Complete"</formula>
    </cfRule>
  </conditionalFormatting>
  <conditionalFormatting sqref="X26:X28">
    <cfRule type="cellIs" dxfId="58" priority="54" operator="equal">
      <formula>"Very Late &amp; Complete"</formula>
    </cfRule>
  </conditionalFormatting>
  <conditionalFormatting sqref="E37:E40">
    <cfRule type="expression" dxfId="57" priority="55">
      <formula>E37&lt;D37</formula>
    </cfRule>
  </conditionalFormatting>
  <conditionalFormatting sqref="E37:E40">
    <cfRule type="expression" dxfId="56" priority="56">
      <formula>E37&gt;D37</formula>
    </cfRule>
  </conditionalFormatting>
  <conditionalFormatting sqref="E37:E40">
    <cfRule type="cellIs" dxfId="55" priority="57" operator="greaterThan">
      <formula>"D5"</formula>
    </cfRule>
  </conditionalFormatting>
  <conditionalFormatting sqref="E37:E40">
    <cfRule type="cellIs" dxfId="54" priority="58" operator="equal">
      <formula>0</formula>
    </cfRule>
  </conditionalFormatting>
  <conditionalFormatting sqref="F37:O37 Q37:R37 T37:W37">
    <cfRule type="cellIs" dxfId="53" priority="59" operator="equal">
      <formula>0</formula>
    </cfRule>
  </conditionalFormatting>
  <conditionalFormatting sqref="X37:X40">
    <cfRule type="cellIs" dxfId="52" priority="60" operator="equal">
      <formula>"Complete"</formula>
    </cfRule>
  </conditionalFormatting>
  <conditionalFormatting sqref="X37:X40">
    <cfRule type="cellIs" dxfId="51" priority="61" operator="equal">
      <formula>"Early &amp; Complete"</formula>
    </cfRule>
  </conditionalFormatting>
  <conditionalFormatting sqref="X37:X40">
    <cfRule type="cellIs" dxfId="50" priority="62" operator="equal">
      <formula>"Ontime (In Progress)"</formula>
    </cfRule>
  </conditionalFormatting>
  <conditionalFormatting sqref="X37:X40">
    <cfRule type="cellIs" dxfId="49" priority="63" operator="equal">
      <formula>"Late (In Progress)"</formula>
    </cfRule>
  </conditionalFormatting>
  <conditionalFormatting sqref="X37:X40">
    <cfRule type="cellIs" dxfId="48" priority="64" operator="equal">
      <formula>"Very Late (In Progress)"</formula>
    </cfRule>
  </conditionalFormatting>
  <conditionalFormatting sqref="X37:X40">
    <cfRule type="cellIs" dxfId="47" priority="65" operator="equal">
      <formula>"Not Started"</formula>
    </cfRule>
  </conditionalFormatting>
  <conditionalFormatting sqref="X37:X40">
    <cfRule type="cellIs" dxfId="46" priority="66" operator="equal">
      <formula>"Late &amp; Complete"</formula>
    </cfRule>
  </conditionalFormatting>
  <conditionalFormatting sqref="X37:X40">
    <cfRule type="cellIs" dxfId="45" priority="67" operator="equal">
      <formula>"Very Late &amp; Complete"</formula>
    </cfRule>
  </conditionalFormatting>
  <conditionalFormatting sqref="E3">
    <cfRule type="expression" dxfId="44" priority="68">
      <formula>E3&lt;D3</formula>
    </cfRule>
  </conditionalFormatting>
  <conditionalFormatting sqref="E3">
    <cfRule type="expression" dxfId="43" priority="69">
      <formula>E3&gt;D3</formula>
    </cfRule>
  </conditionalFormatting>
  <conditionalFormatting sqref="E3">
    <cfRule type="cellIs" dxfId="42" priority="70" operator="greaterThan">
      <formula>"D5"</formula>
    </cfRule>
  </conditionalFormatting>
  <conditionalFormatting sqref="E3">
    <cfRule type="cellIs" dxfId="41" priority="71" operator="equal">
      <formula>0</formula>
    </cfRule>
  </conditionalFormatting>
  <conditionalFormatting sqref="D14">
    <cfRule type="cellIs" dxfId="40" priority="72" operator="equal">
      <formula>0</formula>
    </cfRule>
  </conditionalFormatting>
  <conditionalFormatting sqref="D23">
    <cfRule type="cellIs" dxfId="39" priority="73" operator="equal">
      <formula>0</formula>
    </cfRule>
  </conditionalFormatting>
  <conditionalFormatting sqref="D26">
    <cfRule type="cellIs" dxfId="38" priority="74" operator="equal">
      <formula>0</formula>
    </cfRule>
  </conditionalFormatting>
  <conditionalFormatting sqref="D37">
    <cfRule type="cellIs" dxfId="37" priority="75" operator="equal">
      <formula>0</formula>
    </cfRule>
  </conditionalFormatting>
  <conditionalFormatting sqref="E17">
    <cfRule type="expression" dxfId="36" priority="76">
      <formula>E17&lt;D17</formula>
    </cfRule>
  </conditionalFormatting>
  <conditionalFormatting sqref="E17">
    <cfRule type="expression" dxfId="35" priority="77">
      <formula>E17&gt;D17</formula>
    </cfRule>
  </conditionalFormatting>
  <conditionalFormatting sqref="E17">
    <cfRule type="cellIs" dxfId="34" priority="78" operator="greaterThan">
      <formula>"D5"</formula>
    </cfRule>
  </conditionalFormatting>
  <conditionalFormatting sqref="E17">
    <cfRule type="cellIs" dxfId="33" priority="79" operator="equal">
      <formula>0</formula>
    </cfRule>
  </conditionalFormatting>
  <conditionalFormatting sqref="E29">
    <cfRule type="expression" dxfId="32" priority="80">
      <formula>E29&lt;D29</formula>
    </cfRule>
  </conditionalFormatting>
  <conditionalFormatting sqref="E29">
    <cfRule type="expression" dxfId="31" priority="81">
      <formula>E29&gt;D29</formula>
    </cfRule>
  </conditionalFormatting>
  <conditionalFormatting sqref="E29">
    <cfRule type="cellIs" dxfId="30" priority="82" operator="greaterThan">
      <formula>"D5"</formula>
    </cfRule>
  </conditionalFormatting>
  <conditionalFormatting sqref="E29">
    <cfRule type="cellIs" dxfId="29" priority="83" operator="equal">
      <formula>0</formula>
    </cfRule>
  </conditionalFormatting>
  <conditionalFormatting sqref="D43:V43">
    <cfRule type="cellIs" dxfId="28" priority="84" operator="lessThan">
      <formula>0</formula>
    </cfRule>
  </conditionalFormatting>
  <conditionalFormatting sqref="D43:V43">
    <cfRule type="cellIs" dxfId="27" priority="85" operator="greaterThan">
      <formula>0</formula>
    </cfRule>
  </conditionalFormatting>
  <conditionalFormatting sqref="E11:E13">
    <cfRule type="expression" dxfId="26" priority="86">
      <formula>E11&lt;D11</formula>
    </cfRule>
  </conditionalFormatting>
  <conditionalFormatting sqref="E11:E13">
    <cfRule type="expression" dxfId="25" priority="87">
      <formula>E11&gt;D11</formula>
    </cfRule>
  </conditionalFormatting>
  <conditionalFormatting sqref="E11:E13">
    <cfRule type="cellIs" dxfId="24" priority="88" operator="greaterThan">
      <formula>"D5"</formula>
    </cfRule>
  </conditionalFormatting>
  <conditionalFormatting sqref="E11:E13">
    <cfRule type="cellIs" dxfId="23" priority="89" operator="equal">
      <formula>0</formula>
    </cfRule>
  </conditionalFormatting>
  <conditionalFormatting sqref="F11:W11">
    <cfRule type="cellIs" dxfId="22" priority="90" operator="equal">
      <formula>0</formula>
    </cfRule>
  </conditionalFormatting>
  <conditionalFormatting sqref="X11:X13">
    <cfRule type="cellIs" dxfId="21" priority="91" operator="equal">
      <formula>"Complete"</formula>
    </cfRule>
  </conditionalFormatting>
  <conditionalFormatting sqref="X11:X13">
    <cfRule type="cellIs" dxfId="20" priority="92" operator="equal">
      <formula>"Early &amp; Complete"</formula>
    </cfRule>
  </conditionalFormatting>
  <conditionalFormatting sqref="X11:X13">
    <cfRule type="cellIs" dxfId="19" priority="93" operator="equal">
      <formula>"Ontime (In Progress)"</formula>
    </cfRule>
  </conditionalFormatting>
  <conditionalFormatting sqref="X11:X13">
    <cfRule type="cellIs" dxfId="18" priority="94" operator="equal">
      <formula>"Late (In Progress)"</formula>
    </cfRule>
  </conditionalFormatting>
  <conditionalFormatting sqref="X11:X13">
    <cfRule type="cellIs" dxfId="17" priority="95" operator="equal">
      <formula>"Very Late (In Progress)"</formula>
    </cfRule>
  </conditionalFormatting>
  <conditionalFormatting sqref="X11:X13">
    <cfRule type="cellIs" dxfId="16" priority="96" operator="equal">
      <formula>"Not Started"</formula>
    </cfRule>
  </conditionalFormatting>
  <conditionalFormatting sqref="X11:X13">
    <cfRule type="cellIs" dxfId="15" priority="97" operator="equal">
      <formula>"Late &amp; Complete"</formula>
    </cfRule>
  </conditionalFormatting>
  <conditionalFormatting sqref="X11:X13">
    <cfRule type="cellIs" dxfId="14" priority="98" operator="equal">
      <formula>"Very Late &amp; Complete"</formula>
    </cfRule>
  </conditionalFormatting>
  <conditionalFormatting sqref="D11">
    <cfRule type="cellIs" dxfId="13" priority="99" operator="equal">
      <formula>0</formula>
    </cfRule>
  </conditionalFormatting>
  <conditionalFormatting sqref="R11 T11:V11">
    <cfRule type="cellIs" dxfId="12" priority="100" operator="equal">
      <formula>0</formula>
    </cfRule>
  </conditionalFormatting>
  <conditionalFormatting sqref="P7 P18 P21 P30 P33">
    <cfRule type="cellIs" dxfId="11" priority="101" operator="equal">
      <formula>0</formula>
    </cfRule>
  </conditionalFormatting>
  <conditionalFormatting sqref="P14">
    <cfRule type="cellIs" dxfId="10" priority="102" operator="equal">
      <formula>0</formula>
    </cfRule>
  </conditionalFormatting>
  <conditionalFormatting sqref="P23">
    <cfRule type="cellIs" dxfId="9" priority="103" operator="equal">
      <formula>0</formula>
    </cfRule>
  </conditionalFormatting>
  <conditionalFormatting sqref="P26">
    <cfRule type="cellIs" dxfId="8" priority="104" operator="equal">
      <formula>0</formula>
    </cfRule>
  </conditionalFormatting>
  <conditionalFormatting sqref="P37">
    <cfRule type="cellIs" dxfId="7" priority="105" operator="equal">
      <formula>0</formula>
    </cfRule>
  </conditionalFormatting>
  <conditionalFormatting sqref="P11">
    <cfRule type="cellIs" dxfId="6" priority="106" operator="equal">
      <formula>0</formula>
    </cfRule>
  </conditionalFormatting>
  <conditionalFormatting sqref="S7 S18 S21 S30 S33">
    <cfRule type="cellIs" dxfId="5" priority="107" operator="equal">
      <formula>0</formula>
    </cfRule>
  </conditionalFormatting>
  <conditionalFormatting sqref="S14">
    <cfRule type="cellIs" dxfId="4" priority="108" operator="equal">
      <formula>0</formula>
    </cfRule>
  </conditionalFormatting>
  <conditionalFormatting sqref="S23">
    <cfRule type="cellIs" dxfId="3" priority="109" operator="equal">
      <formula>0</formula>
    </cfRule>
  </conditionalFormatting>
  <conditionalFormatting sqref="S26">
    <cfRule type="cellIs" dxfId="2" priority="110" operator="equal">
      <formula>0</formula>
    </cfRule>
  </conditionalFormatting>
  <conditionalFormatting sqref="S37">
    <cfRule type="cellIs" dxfId="1" priority="111" operator="equal">
      <formula>0</formula>
    </cfRule>
  </conditionalFormatting>
  <conditionalFormatting sqref="S11">
    <cfRule type="cellIs" dxfId="0" priority="112" operator="equal">
      <formula>0</formula>
    </cfRule>
  </conditionalFormatting>
  <dataValidations count="2">
    <dataValidation type="list" allowBlank="1" sqref="X8:X9 X12 X15 X24 X27" xr:uid="{00000000-0002-0000-0000-000000000000}">
      <formula1>"Complete,Early &amp; Complete,Ontime (In Progress),Late (In Progress),Very Late &amp; Complete,Very Late (In Progress),Not Started,Late &amp; Completed"</formula1>
    </dataValidation>
    <dataValidation type="list" allowBlank="1" sqref="X4:X7 X10:X11 X13:X14 X16 X18:X23 X25:X26 X28 X30:X40" xr:uid="{00000000-0002-0000-0000-000001000000}">
      <formula1>"Complete,Early &amp; Complete,Ontime (In Progress),Late (In Progress),Very Late &amp; Complete,Very Late (In Progress),Not Started,Late &amp; Complete"</formula1>
    </dataValidation>
  </dataValidations>
  <pageMargins left="0" right="0" top="0" bottom="0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Scott E Palo</dc:creator>
  <cp:keywords/>
  <dc:description/>
  <cp:lastModifiedBy/>
  <cp:revision/>
  <dcterms:created xsi:type="dcterms:W3CDTF">2024-09-08T14:08:35Z</dcterms:created>
  <dcterms:modified xsi:type="dcterms:W3CDTF">2026-09-12T02:49:52Z</dcterms:modified>
  <cp:category/>
  <cp:contentStatus/>
</cp:coreProperties>
</file>