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mplate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\/d"/>
  </numFmts>
  <fonts count="17">
    <font>
      <name val="Calibri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color theme="1"/>
      <sz val="10"/>
    </font>
    <font>
      <name val="Lato"/>
      <charset val="1"/>
      <family val="0"/>
      <b val="1"/>
      <color theme="1"/>
      <sz val="10"/>
    </font>
    <font>
      <name val="Lato"/>
      <charset val="1"/>
      <family val="0"/>
      <b val="1"/>
      <color theme="1"/>
      <sz val="11"/>
    </font>
    <font>
      <name val="Arial"/>
      <charset val="1"/>
      <family val="0"/>
      <color theme="1"/>
      <sz val="10"/>
    </font>
    <font>
      <name val="Lato"/>
      <charset val="1"/>
      <family val="0"/>
      <color rgb="FF000000"/>
      <sz val="10"/>
    </font>
    <font>
      <name val="Lato, Arial"/>
      <charset val="1"/>
      <family val="0"/>
      <color rgb="FF000000"/>
      <sz val="10"/>
    </font>
    <font>
      <name val="Lato"/>
      <charset val="1"/>
      <family val="0"/>
      <color theme="1"/>
      <sz val="10"/>
    </font>
    <font>
      <name val="Arial"/>
      <charset val="1"/>
      <family val="0"/>
      <color rgb="FF000000"/>
      <sz val="10"/>
    </font>
    <font>
      <name val="Lato"/>
      <charset val="1"/>
      <family val="0"/>
      <color rgb="FF000000"/>
      <sz val="11"/>
    </font>
    <font>
      <name val="Lato"/>
      <charset val="1"/>
      <family val="0"/>
      <color theme="1"/>
      <sz val="11"/>
    </font>
    <font>
      <name val="Calibri"/>
      <charset val="1"/>
      <family val="0"/>
      <b val="1"/>
      <color theme="1"/>
      <sz val="12"/>
    </font>
    <font>
      <name val="Calibri"/>
      <charset val="1"/>
      <family val="0"/>
      <b val="1"/>
      <color theme="1"/>
      <sz val="10"/>
    </font>
    <font>
      <name val="Arial"/>
      <family val="2"/>
      <sz val="10"/>
    </font>
  </fonts>
  <fills count="17">
    <fill>
      <patternFill/>
    </fill>
    <fill>
      <patternFill patternType="gray125"/>
    </fill>
    <fill>
      <patternFill patternType="solid">
        <fgColor rgb="FFD9D9D9"/>
        <bgColor rgb="FFC9DAF8"/>
      </patternFill>
    </fill>
    <fill>
      <patternFill patternType="solid">
        <fgColor rgb="FFBFBFBF"/>
        <bgColor rgb="FFB7B7B7"/>
      </patternFill>
    </fill>
    <fill>
      <patternFill patternType="solid">
        <fgColor theme="9" tint="0.4"/>
        <bgColor rgb="FFBFBFBF"/>
      </patternFill>
    </fill>
    <fill>
      <patternFill patternType="solid">
        <fgColor rgb="FFFFFFFF"/>
        <bgColor rgb="FFF3F3F3"/>
      </patternFill>
    </fill>
    <fill>
      <patternFill patternType="solid">
        <fgColor rgb="FFFFC000"/>
        <bgColor rgb="FFFBBC04"/>
      </patternFill>
    </fill>
    <fill>
      <patternFill patternType="solid">
        <fgColor rgb="FFC9DAF8"/>
        <bgColor rgb="FFD9D9D9"/>
      </patternFill>
    </fill>
    <fill>
      <patternFill patternType="solid">
        <fgColor rgb="FFB7B7B7"/>
        <bgColor rgb="FFBFBFBF"/>
      </patternFill>
    </fill>
    <fill>
      <patternFill patternType="solid">
        <fgColor rgb="FFA6A6A6"/>
        <bgColor rgb="FFB7B7B7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7F7F7F"/>
        <bgColor rgb="FF666699"/>
      </patternFill>
    </fill>
    <fill>
      <patternFill patternType="solid">
        <fgColor rgb="FFB7E1CD"/>
        <bgColor rgb="FFC9DAF8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C0006"/>
      </patternFill>
    </fill>
    <fill>
      <patternFill patternType="solid">
        <fgColor rgb="FFF9CB9C"/>
        <bgColor rgb="FFFFC7CE"/>
      </patternFill>
    </fill>
  </fills>
  <borders count="38">
    <border>
      <left/>
      <right/>
      <top/>
      <bottom/>
      <diagonal/>
    </border>
    <border>
      <left style="thick"/>
      <right/>
      <top style="thick"/>
      <bottom style="medium"/>
      <diagonal/>
    </border>
    <border>
      <left/>
      <right/>
      <top style="thick"/>
      <bottom/>
      <diagonal/>
    </border>
    <border>
      <left style="thin">
        <color rgb="FFA6A6A6"/>
      </left>
      <right/>
      <top style="thick"/>
      <bottom/>
      <diagonal/>
    </border>
    <border>
      <left/>
      <right style="thick"/>
      <top style="thick"/>
      <bottom/>
      <diagonal/>
    </border>
    <border>
      <left/>
      <right/>
      <top/>
      <bottom style="medium"/>
      <diagonal/>
    </border>
    <border>
      <left style="thin"/>
      <right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 style="thin"/>
      <top style="thin"/>
      <bottom style="medium"/>
      <diagonal/>
    </border>
    <border>
      <left/>
      <right style="thick"/>
      <top/>
      <bottom style="medium"/>
      <diagonal/>
    </border>
    <border>
      <left style="thick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thin">
        <color rgb="FFA6A6A6"/>
      </right>
      <top style="medium"/>
      <bottom style="medium"/>
      <diagonal/>
    </border>
    <border>
      <left style="thin">
        <color rgb="FFA6A6A6"/>
      </left>
      <right/>
      <top/>
      <bottom style="medium"/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 style="thick"/>
      <right/>
      <top/>
      <bottom/>
      <diagonal/>
    </border>
    <border>
      <left/>
      <right style="thick"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>
        <color rgb="FFA6A6A6"/>
      </left>
      <right/>
      <top/>
      <bottom/>
      <diagonal/>
    </border>
    <border>
      <left style="thin"/>
      <right/>
      <top style="thin"/>
      <bottom style="thin"/>
      <diagonal/>
    </border>
    <border>
      <left style="thick"/>
      <right/>
      <top/>
      <bottom style="medium"/>
      <diagonal/>
    </border>
    <border>
      <left style="thin">
        <color rgb="FFA6A6A6"/>
      </left>
      <right/>
      <top style="medium"/>
      <bottom style="medium"/>
      <diagonal/>
    </border>
    <border>
      <left/>
      <right style="thick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ck"/>
      <bottom style="thick"/>
      <diagonal/>
    </border>
    <border>
      <left/>
      <right/>
      <top style="thick"/>
      <bottom style="thick"/>
      <diagonal/>
    </border>
    <border>
      <left/>
      <right style="thick"/>
      <top style="thick"/>
      <bottom style="thick"/>
      <diagonal/>
    </border>
    <border>
      <left/>
      <right/>
      <top style="medium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ck"/>
      <right/>
      <top/>
      <bottom style="medium"/>
    </border>
    <border>
      <left/>
      <right/>
      <top/>
      <bottom style="medium"/>
    </border>
    <border>
      <left style="thin">
        <color rgb="FFA6A6A6"/>
      </left>
      <right/>
      <top/>
      <bottom style="medium"/>
    </border>
    <border>
      <left/>
      <right style="thick"/>
      <top/>
      <bottom style="medium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bottom"/>
    </xf>
    <xf numFmtId="0" fontId="7" fillId="0" borderId="4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2" borderId="5" applyAlignment="1" pivotButton="0" quotePrefix="0" xfId="0">
      <alignment horizontal="center" vertical="bottom" wrapText="1"/>
    </xf>
    <xf numFmtId="164" fontId="6" fillId="3" borderId="6" applyAlignment="1" pivotButton="0" quotePrefix="0" xfId="0">
      <alignment horizontal="center" vertical="bottom" wrapText="1"/>
    </xf>
    <xf numFmtId="164" fontId="6" fillId="3" borderId="7" applyAlignment="1" pivotButton="0" quotePrefix="0" xfId="0">
      <alignment horizontal="center" vertical="bottom"/>
    </xf>
    <xf numFmtId="164" fontId="6" fillId="3" borderId="8" applyAlignment="1" pivotButton="0" quotePrefix="0" xfId="0">
      <alignment horizontal="center" vertical="bottom"/>
    </xf>
    <xf numFmtId="164" fontId="6" fillId="3" borderId="7" applyAlignment="1" pivotButton="0" quotePrefix="0" xfId="0">
      <alignment horizontal="center" vertical="bottom" wrapText="1"/>
    </xf>
    <xf numFmtId="164" fontId="6" fillId="4" borderId="7" applyAlignment="1" pivotButton="0" quotePrefix="0" xfId="0">
      <alignment horizontal="center" vertical="bottom" wrapText="1"/>
    </xf>
    <xf numFmtId="164" fontId="6" fillId="5" borderId="7" applyAlignment="1" pivotButton="0" quotePrefix="0" xfId="0">
      <alignment horizontal="center" vertical="bottom" wrapText="1"/>
    </xf>
    <xf numFmtId="164" fontId="6" fillId="0" borderId="7" applyAlignment="1" pivotButton="0" quotePrefix="0" xfId="0">
      <alignment horizontal="center" vertical="bottom" wrapText="1"/>
    </xf>
    <xf numFmtId="164" fontId="6" fillId="6" borderId="7" applyAlignment="1" pivotButton="0" quotePrefix="0" xfId="0">
      <alignment horizontal="center" vertical="bottom" wrapText="1"/>
    </xf>
    <xf numFmtId="0" fontId="6" fillId="0" borderId="9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 wrapText="1"/>
    </xf>
    <xf numFmtId="0" fontId="6" fillId="7" borderId="10" applyAlignment="1" pivotButton="0" quotePrefix="0" xfId="0">
      <alignment horizontal="center" vertical="bottom" wrapText="1"/>
    </xf>
    <xf numFmtId="9" fontId="6" fillId="7" borderId="11" applyAlignment="1" pivotButton="0" quotePrefix="0" xfId="0">
      <alignment horizontal="general" vertical="bottom" wrapText="1"/>
    </xf>
    <xf numFmtId="0" fontId="6" fillId="7" borderId="11" applyAlignment="1" pivotButton="0" quotePrefix="0" xfId="0">
      <alignment horizontal="general" vertical="bottom" wrapText="1"/>
    </xf>
    <xf numFmtId="0" fontId="8" fillId="8" borderId="12" applyAlignment="1" pivotButton="0" quotePrefix="0" xfId="0">
      <alignment horizontal="center" vertical="center"/>
    </xf>
    <xf numFmtId="0" fontId="7" fillId="7" borderId="13" applyAlignment="1" pivotButton="0" quotePrefix="0" xfId="0">
      <alignment horizontal="center" vertical="bottom"/>
    </xf>
    <xf numFmtId="0" fontId="7" fillId="7" borderId="5" applyAlignment="1" pivotButton="0" quotePrefix="0" xfId="0">
      <alignment horizontal="general" vertical="bottom"/>
    </xf>
    <xf numFmtId="0" fontId="7" fillId="7" borderId="9" applyAlignment="1" pivotButton="0" quotePrefix="0" xfId="0">
      <alignment horizontal="general" vertical="bottom"/>
    </xf>
    <xf numFmtId="0" fontId="9" fillId="0" borderId="14" applyAlignment="1" pivotButton="0" quotePrefix="0" xfId="0">
      <alignment horizontal="general" vertical="bottom" wrapText="1"/>
    </xf>
    <xf numFmtId="0" fontId="8" fillId="9" borderId="15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7" fillId="2" borderId="16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center" vertical="bottom"/>
    </xf>
    <xf numFmtId="0" fontId="8" fillId="8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/>
    </xf>
    <xf numFmtId="0" fontId="8" fillId="0" borderId="18" applyAlignment="1" pivotButton="0" quotePrefix="0" xfId="0">
      <alignment horizontal="general" vertical="bottom" wrapText="1"/>
    </xf>
    <xf numFmtId="0" fontId="8" fillId="2" borderId="19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center" vertical="bottom"/>
    </xf>
    <xf numFmtId="0" fontId="7" fillId="0" borderId="2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8" fillId="0" borderId="21" applyAlignment="1" pivotButton="0" quotePrefix="0" xfId="0">
      <alignment horizontal="general" vertical="bottom" wrapText="1"/>
    </xf>
    <xf numFmtId="0" fontId="10" fillId="13" borderId="18" applyAlignment="1" pivotButton="0" quotePrefix="0" xfId="0">
      <alignment horizontal="center" vertical="bottom"/>
    </xf>
    <xf numFmtId="0" fontId="7" fillId="2" borderId="22" applyAlignment="1" pivotButton="0" quotePrefix="0" xfId="0">
      <alignment horizontal="general" vertical="bottom"/>
    </xf>
    <xf numFmtId="0" fontId="7" fillId="2" borderId="5" applyAlignment="1" pivotButton="0" quotePrefix="0" xfId="0">
      <alignment horizontal="general" vertical="bottom"/>
    </xf>
    <xf numFmtId="0" fontId="13" fillId="0" borderId="5" applyAlignment="1" pivotButton="0" quotePrefix="0" xfId="0">
      <alignment horizontal="general" vertical="bottom"/>
    </xf>
    <xf numFmtId="0" fontId="11" fillId="10" borderId="5" applyAlignment="1" pivotButton="0" quotePrefix="0" xfId="0">
      <alignment horizontal="center" vertical="bottom"/>
    </xf>
    <xf numFmtId="0" fontId="8" fillId="8" borderId="5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12" borderId="5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8" fillId="14" borderId="15" applyAlignment="1" pivotButton="0" quotePrefix="0" xfId="0">
      <alignment horizontal="center" vertical="bottom"/>
    </xf>
    <xf numFmtId="0" fontId="7" fillId="11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bottom"/>
    </xf>
    <xf numFmtId="0" fontId="8" fillId="15" borderId="18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center" vertical="bottom"/>
    </xf>
    <xf numFmtId="0" fontId="10" fillId="7" borderId="18" applyAlignment="1" pivotButton="0" quotePrefix="0" xfId="0">
      <alignment horizontal="center" vertical="bottom"/>
    </xf>
    <xf numFmtId="0" fontId="10" fillId="0" borderId="18" applyAlignment="1" pivotButton="0" quotePrefix="0" xfId="0">
      <alignment horizontal="general" vertical="bottom"/>
    </xf>
    <xf numFmtId="0" fontId="8" fillId="14" borderId="18" applyAlignment="1" pivotButton="0" quotePrefix="0" xfId="0">
      <alignment horizontal="center" vertical="bottom"/>
    </xf>
    <xf numFmtId="0" fontId="8" fillId="16" borderId="18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8" fillId="9" borderId="5" applyAlignment="1" pivotButton="0" quotePrefix="0" xfId="0">
      <alignment horizontal="center" vertical="bottom"/>
    </xf>
    <xf numFmtId="0" fontId="6" fillId="7" borderId="10" applyAlignment="1" pivotButton="0" quotePrefix="0" xfId="0">
      <alignment horizontal="center" vertical="bottom"/>
    </xf>
    <xf numFmtId="0" fontId="7" fillId="7" borderId="23" applyAlignment="1" pivotButton="0" quotePrefix="0" xfId="0">
      <alignment horizontal="center" vertical="center"/>
    </xf>
    <xf numFmtId="0" fontId="7" fillId="7" borderId="11" applyAlignment="1" pivotButton="0" quotePrefix="0" xfId="0">
      <alignment horizontal="center" vertical="center"/>
    </xf>
    <xf numFmtId="0" fontId="7" fillId="7" borderId="24" applyAlignment="1" pivotButton="0" quotePrefix="0" xfId="0">
      <alignment horizontal="general" vertical="bottom"/>
    </xf>
    <xf numFmtId="0" fontId="7" fillId="0" borderId="25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center" wrapText="1"/>
    </xf>
    <xf numFmtId="0" fontId="10" fillId="0" borderId="18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bottom"/>
    </xf>
    <xf numFmtId="0" fontId="7" fillId="9" borderId="5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14" fillId="0" borderId="26" applyAlignment="1" pivotButton="0" quotePrefix="0" xfId="0">
      <alignment horizontal="left" vertical="center"/>
    </xf>
    <xf numFmtId="0" fontId="15" fillId="0" borderId="27" applyAlignment="1" pivotButton="0" quotePrefix="0" xfId="0">
      <alignment horizontal="center" vertical="center"/>
    </xf>
    <xf numFmtId="0" fontId="15" fillId="0" borderId="2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2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5" fillId="2" borderId="2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bottom"/>
    </xf>
    <xf numFmtId="0" fontId="7" fillId="0" borderId="4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22" pivotButton="0" quotePrefix="0" xfId="0"/>
    <xf numFmtId="0" fontId="0" fillId="0" borderId="5" pivotButton="0" quotePrefix="0" xfId="0"/>
    <xf numFmtId="0" fontId="6" fillId="2" borderId="5" applyAlignment="1" pivotButton="0" quotePrefix="0" xfId="0">
      <alignment horizontal="center" vertical="bottom" wrapText="1"/>
    </xf>
    <xf numFmtId="164" fontId="6" fillId="3" borderId="6" applyAlignment="1" pivotButton="0" quotePrefix="0" xfId="0">
      <alignment horizontal="center" vertical="bottom" wrapText="1"/>
    </xf>
    <xf numFmtId="164" fontId="6" fillId="3" borderId="7" applyAlignment="1" pivotButton="0" quotePrefix="0" xfId="0">
      <alignment horizontal="center" vertical="bottom"/>
    </xf>
    <xf numFmtId="164" fontId="6" fillId="3" borderId="8" applyAlignment="1" pivotButton="0" quotePrefix="0" xfId="0">
      <alignment horizontal="center" vertical="bottom"/>
    </xf>
    <xf numFmtId="164" fontId="6" fillId="3" borderId="7" applyAlignment="1" pivotButton="0" quotePrefix="0" xfId="0">
      <alignment horizontal="center" vertical="bottom" wrapText="1"/>
    </xf>
    <xf numFmtId="164" fontId="6" fillId="4" borderId="7" applyAlignment="1" pivotButton="0" quotePrefix="0" xfId="0">
      <alignment horizontal="center" vertical="bottom" wrapText="1"/>
    </xf>
    <xf numFmtId="164" fontId="6" fillId="5" borderId="7" applyAlignment="1" pivotButton="0" quotePrefix="0" xfId="0">
      <alignment horizontal="center" vertical="bottom" wrapText="1"/>
    </xf>
    <xf numFmtId="164" fontId="6" fillId="0" borderId="7" applyAlignment="1" pivotButton="0" quotePrefix="0" xfId="0">
      <alignment horizontal="center" vertical="bottom" wrapText="1"/>
    </xf>
    <xf numFmtId="164" fontId="6" fillId="6" borderId="7" applyAlignment="1" pivotButton="0" quotePrefix="0" xfId="0">
      <alignment horizontal="center" vertical="bottom" wrapText="1"/>
    </xf>
    <xf numFmtId="0" fontId="6" fillId="0" borderId="9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 wrapText="1"/>
    </xf>
    <xf numFmtId="0" fontId="6" fillId="7" borderId="10" applyAlignment="1" pivotButton="0" quotePrefix="0" xfId="0">
      <alignment horizontal="center" vertical="bottom" wrapText="1"/>
    </xf>
    <xf numFmtId="0" fontId="0" fillId="0" borderId="11" pivotButton="0" quotePrefix="0" xfId="0"/>
    <xf numFmtId="9" fontId="6" fillId="7" borderId="11" applyAlignment="1" pivotButton="0" quotePrefix="0" xfId="0">
      <alignment horizontal="general" vertical="bottom" wrapText="1"/>
    </xf>
    <xf numFmtId="0" fontId="6" fillId="7" borderId="11" applyAlignment="1" pivotButton="0" quotePrefix="0" xfId="0">
      <alignment horizontal="general" vertical="bottom" wrapText="1"/>
    </xf>
    <xf numFmtId="0" fontId="8" fillId="8" borderId="12" applyAlignment="1" pivotButton="0" quotePrefix="0" xfId="0">
      <alignment horizontal="center" vertical="center"/>
    </xf>
    <xf numFmtId="0" fontId="7" fillId="7" borderId="13" applyAlignment="1" pivotButton="0" quotePrefix="0" xfId="0">
      <alignment horizontal="center" vertical="bottom"/>
    </xf>
    <xf numFmtId="0" fontId="7" fillId="7" borderId="5" applyAlignment="1" pivotButton="0" quotePrefix="0" xfId="0">
      <alignment horizontal="general" vertical="bottom"/>
    </xf>
    <xf numFmtId="0" fontId="7" fillId="7" borderId="9" applyAlignment="1" pivotButton="0" quotePrefix="0" xfId="0">
      <alignment horizontal="general" vertical="bottom"/>
    </xf>
    <xf numFmtId="0" fontId="9" fillId="0" borderId="14" applyAlignment="1" pivotButton="0" quotePrefix="0" xfId="0">
      <alignment horizontal="general" vertical="bottom" wrapText="1"/>
    </xf>
    <xf numFmtId="0" fontId="8" fillId="9" borderId="15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7" fillId="2" borderId="16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center" vertical="bottom"/>
    </xf>
    <xf numFmtId="0" fontId="8" fillId="8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/>
    </xf>
    <xf numFmtId="0" fontId="8" fillId="0" borderId="18" applyAlignment="1" pivotButton="0" quotePrefix="0" xfId="0">
      <alignment horizontal="general" vertical="bottom" wrapText="1"/>
    </xf>
    <xf numFmtId="0" fontId="8" fillId="2" borderId="19" applyAlignment="1" pivotButton="0" quotePrefix="0" xfId="0">
      <alignment horizontal="center" vertical="bottom"/>
    </xf>
    <xf numFmtId="0" fontId="7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2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8" fillId="0" borderId="21" applyAlignment="1" pivotButton="0" quotePrefix="0" xfId="0">
      <alignment horizontal="general" vertical="bottom" wrapText="1"/>
    </xf>
    <xf numFmtId="0" fontId="10" fillId="13" borderId="18" applyAlignment="1" pivotButton="0" quotePrefix="0" xfId="0">
      <alignment horizontal="center" vertical="bottom"/>
    </xf>
    <xf numFmtId="0" fontId="7" fillId="2" borderId="22" applyAlignment="1" pivotButton="0" quotePrefix="0" xfId="0">
      <alignment horizontal="general" vertical="bottom"/>
    </xf>
    <xf numFmtId="0" fontId="7" fillId="2" borderId="5" applyAlignment="1" pivotButton="0" quotePrefix="0" xfId="0">
      <alignment horizontal="general" vertical="bottom"/>
    </xf>
    <xf numFmtId="0" fontId="13" fillId="0" borderId="5" applyAlignment="1" pivotButton="0" quotePrefix="0" xfId="0">
      <alignment horizontal="general" vertical="bottom"/>
    </xf>
    <xf numFmtId="0" fontId="11" fillId="10" borderId="5" applyAlignment="1" pivotButton="0" quotePrefix="0" xfId="0">
      <alignment horizontal="center" vertical="bottom"/>
    </xf>
    <xf numFmtId="0" fontId="8" fillId="8" borderId="5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12" borderId="5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8" fillId="14" borderId="15" applyAlignment="1" pivotButton="0" quotePrefix="0" xfId="0">
      <alignment horizontal="center" vertical="bottom"/>
    </xf>
    <xf numFmtId="0" fontId="7" fillId="11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bottom"/>
    </xf>
    <xf numFmtId="0" fontId="8" fillId="15" borderId="18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center" vertical="bottom"/>
    </xf>
    <xf numFmtId="0" fontId="10" fillId="7" borderId="18" applyAlignment="1" pivotButton="0" quotePrefix="0" xfId="0">
      <alignment horizontal="center" vertical="bottom"/>
    </xf>
    <xf numFmtId="0" fontId="10" fillId="0" borderId="18" applyAlignment="1" pivotButton="0" quotePrefix="0" xfId="0">
      <alignment horizontal="general" vertical="bottom"/>
    </xf>
    <xf numFmtId="0" fontId="8" fillId="14" borderId="18" applyAlignment="1" pivotButton="0" quotePrefix="0" xfId="0">
      <alignment horizontal="center" vertical="bottom"/>
    </xf>
    <xf numFmtId="0" fontId="8" fillId="16" borderId="18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8" fillId="9" borderId="5" applyAlignment="1" pivotButton="0" quotePrefix="0" xfId="0">
      <alignment horizontal="center" vertical="bottom"/>
    </xf>
    <xf numFmtId="0" fontId="6" fillId="7" borderId="10" applyAlignment="1" pivotButton="0" quotePrefix="0" xfId="0">
      <alignment horizontal="center" vertical="bottom"/>
    </xf>
    <xf numFmtId="0" fontId="7" fillId="7" borderId="23" applyAlignment="1" pivotButton="0" quotePrefix="0" xfId="0">
      <alignment horizontal="center" vertical="center"/>
    </xf>
    <xf numFmtId="0" fontId="7" fillId="7" borderId="11" applyAlignment="1" pivotButton="0" quotePrefix="0" xfId="0">
      <alignment horizontal="center" vertical="center"/>
    </xf>
    <xf numFmtId="0" fontId="7" fillId="7" borderId="24" applyAlignment="1" pivotButton="0" quotePrefix="0" xfId="0">
      <alignment horizontal="general" vertical="bottom"/>
    </xf>
    <xf numFmtId="0" fontId="7" fillId="0" borderId="25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2" pivotButton="0" quotePrefix="0" xfId="0"/>
    <xf numFmtId="0" fontId="0" fillId="0" borderId="33" pivotButton="0" quotePrefix="0" xfId="0"/>
    <xf numFmtId="0" fontId="10" fillId="0" borderId="18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bottom"/>
    </xf>
    <xf numFmtId="0" fontId="7" fillId="9" borderId="5" applyAlignment="1" pivotButton="0" quotePrefix="0" xfId="0">
      <alignment horizontal="center" vertical="center"/>
    </xf>
    <xf numFmtId="0" fontId="7" fillId="2" borderId="34" applyAlignment="1" pivotButton="0" quotePrefix="0" xfId="0">
      <alignment horizontal="general" vertical="bottom"/>
    </xf>
    <xf numFmtId="0" fontId="7" fillId="2" borderId="35" applyAlignment="1" pivotButton="0" quotePrefix="0" xfId="0">
      <alignment horizontal="general" vertical="bottom"/>
    </xf>
    <xf numFmtId="0" fontId="13" fillId="0" borderId="35" applyAlignment="1" pivotButton="0" quotePrefix="0" xfId="0">
      <alignment horizontal="general" vertical="bottom"/>
    </xf>
    <xf numFmtId="0" fontId="11" fillId="10" borderId="35" applyAlignment="1" pivotButton="0" quotePrefix="0" xfId="0">
      <alignment horizontal="center" vertical="bottom"/>
    </xf>
    <xf numFmtId="0" fontId="8" fillId="8" borderId="35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4" fillId="0" borderId="35" applyAlignment="1" pivotButton="0" quotePrefix="0" xfId="0">
      <alignment horizontal="general" vertical="bottom"/>
    </xf>
    <xf numFmtId="0" fontId="7" fillId="9" borderId="35" applyAlignment="1" pivotButton="0" quotePrefix="0" xfId="0">
      <alignment horizontal="center" vertical="center"/>
    </xf>
    <xf numFmtId="0" fontId="7" fillId="12" borderId="35" applyAlignment="1" pivotButton="0" quotePrefix="0" xfId="0">
      <alignment horizontal="center" vertical="center"/>
    </xf>
    <xf numFmtId="0" fontId="12" fillId="7" borderId="37" applyAlignment="1" pivotButton="0" quotePrefix="0" xfId="0">
      <alignment horizontal="center" vertical="center"/>
    </xf>
    <xf numFmtId="0" fontId="14" fillId="0" borderId="26" applyAlignment="1" pivotButton="0" quotePrefix="0" xfId="0">
      <alignment horizontal="left" vertical="center"/>
    </xf>
    <xf numFmtId="0" fontId="0" fillId="0" borderId="27" pivotButton="0" quotePrefix="0" xfId="0"/>
    <xf numFmtId="0" fontId="15" fillId="0" borderId="27" applyAlignment="1" pivotButton="0" quotePrefix="0" xfId="0">
      <alignment horizontal="center" vertical="center"/>
    </xf>
    <xf numFmtId="0" fontId="15" fillId="0" borderId="2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2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ont>
        <color rgb="FFEFEFEF"/>
      </font>
    </dxf>
    <dxf>
      <font>
        <color rgb="FFFFFFFF"/>
      </font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F3F3F3"/>
      </font>
    </dxf>
    <dxf>
      <fill>
        <patternFill>
          <bgColor rgb="FFB7E1CD"/>
        </patternFill>
      </fill>
    </dxf>
    <dxf>
      <fill>
        <patternFill>
          <bgColor rgb="FF00B050"/>
        </patternFill>
      </fill>
    </dxf>
    <dxf>
      <fill>
        <patternFill>
          <bgColor rgb="FFF9CB9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BBC0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3F3F3"/>
      <rgbColor rgb="FFEFEF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B7E1CD"/>
      <rgbColor rgb="FFFFEB9C"/>
      <rgbColor rgb="FFB7B7B7"/>
      <rgbColor rgb="FFEA9999"/>
      <rgbColor rgb="FFFFC7CE"/>
      <rgbColor rgb="FFF9CB9C"/>
      <rgbColor rgb="FF3366FF"/>
      <rgbColor rgb="FF57BB8A"/>
      <rgbColor rgb="FFA9D18E"/>
      <rgbColor rgb="FFFFC000"/>
      <rgbColor rgb="FFFBBC04"/>
      <rgbColor rgb="FFFF6600"/>
      <rgbColor rgb="FF666699"/>
      <rgbColor rgb="FFA6A6A6"/>
      <rgbColor rgb="FF003366"/>
      <rgbColor rgb="FF00B050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Unknown Author</author>
  </authors>
  <commentList>
    <comment ref="H2" authorId="0" shapeId="0">
      <text>
        <t>======
ID#AAACGTV1svQ
Scott Palo    (2026-09-02 21:02:20)
The  week is green</t>
      </text>
    </comment>
    <comment ref="M2" authorId="0" shapeId="0">
      <text>
        <t>======
ID#AAACGTV1svM
Scott Palo    (2026-09-02 21:02:20)
Mid Semester Review Week</t>
      </text>
    </comment>
    <comment ref="S2" authorId="0" shapeId="0">
      <text>
        <t>======
ID#AAACGTV1su4
Scott Palo    (2026-09-02 21:02:20)
Fall Break</t>
      </text>
    </comment>
    <comment ref="U2" authorId="0" shapeId="0">
      <text>
        <t>======
ID#AAACGTV1svI
Scott Palo    (2026-09-02 21:02:20)
Final Review Week</t>
      </text>
    </comment>
    <comment ref="V2" authorId="0" shapeId="0">
      <text>
        <t>======
ID#AAACGTV1su8
Scott Palo    (2026-09-02 21:02:20)
Final Report due Monday 12/16</t>
      </text>
    </comment>
    <comment ref="C3" authorId="0" shapeId="0">
      <text>
        <t>======
ID#AAACGTV1svU
Scott Palo    (2026-09-02 21:02:20)
Class &amp; meetings should be 25-35% of your time</t>
      </text>
    </comment>
    <comment ref="C17" authorId="0" shapeId="0">
      <text>
        <t>======
ID#AAACGTV1svE
Scott Palo    (2026-09-02 21:02:20)
Documentation should be 20-30% of your time</t>
      </text>
    </comment>
    <comment ref="C29" authorId="0" shapeId="0">
      <text>
        <t>======
ID#AAACGTV1svA
Scott Palo    (2026-09-02 21:02:20)
Technical work should be 40-60% of your time.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64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pane xSplit="0" ySplit="2" topLeftCell="A33" activePane="bottomLeft" state="frozen"/>
      <selection pane="topLeft" activeCell="A1" activeCellId="0" sqref="A1"/>
      <selection pane="bottomLeft" activeCell="D50" activeCellId="0" sqref="D50"/>
    </sheetView>
  </sheetViews>
  <sheetFormatPr baseColWidth="8" defaultColWidth="14.4296875" defaultRowHeight="12.75" zeroHeight="0" outlineLevelRow="0"/>
  <cols>
    <col width="13" customWidth="1" style="93" min="1" max="1"/>
    <col width="15.28" customWidth="1" style="93" min="2" max="2"/>
    <col width="44" customWidth="1" style="93" min="3" max="3"/>
    <col width="12.29" customWidth="1" style="93" min="4" max="5"/>
    <col width="8.710000000000001" customWidth="1" style="93" min="6" max="23"/>
    <col width="21.71" customWidth="1" style="93" min="24" max="24"/>
    <col width="56" customWidth="1" style="93" min="25" max="25"/>
    <col width="25.71" customWidth="1" style="93" min="26" max="26"/>
    <col width="12.29" customWidth="1" style="93" min="27" max="27"/>
    <col width="27.14" customWidth="1" style="93" min="28" max="28"/>
  </cols>
  <sheetData>
    <row r="1" ht="18.75" customHeight="1" s="94">
      <c r="A1" s="95" t="inlineStr">
        <is>
          <t>Name: Justin Le</t>
        </is>
      </c>
      <c r="B1" s="96" t="n"/>
      <c r="C1" s="96" t="n"/>
      <c r="D1" s="97" t="inlineStr">
        <is>
          <t>Total Hours</t>
        </is>
      </c>
      <c r="E1" s="96" t="n"/>
      <c r="F1" s="98" t="inlineStr">
        <is>
          <t>Week Start Date</t>
        </is>
      </c>
      <c r="G1" s="96" t="n"/>
      <c r="H1" s="96" t="n"/>
      <c r="I1" s="96" t="n"/>
      <c r="J1" s="96" t="n"/>
      <c r="K1" s="96" t="n"/>
      <c r="L1" s="96" t="n"/>
      <c r="M1" s="96" t="n"/>
      <c r="N1" s="96" t="n"/>
      <c r="O1" s="96" t="n"/>
      <c r="P1" s="96" t="n"/>
      <c r="Q1" s="96" t="n"/>
      <c r="R1" s="96" t="n"/>
      <c r="S1" s="96" t="n"/>
      <c r="T1" s="96" t="n"/>
      <c r="U1" s="96" t="n"/>
      <c r="V1" s="96" t="n"/>
      <c r="W1" s="96" t="n"/>
      <c r="X1" s="99" t="n"/>
      <c r="Y1" s="100" t="n"/>
      <c r="Z1" s="100" t="n"/>
      <c r="AA1" s="100" t="n"/>
      <c r="AB1" s="100" t="n"/>
    </row>
    <row r="2" ht="18.75" customHeight="1" s="94">
      <c r="A2" s="101" t="n"/>
      <c r="B2" s="102" t="n"/>
      <c r="C2" s="102" t="n"/>
      <c r="D2" s="103" t="inlineStr">
        <is>
          <t>Estimated</t>
        </is>
      </c>
      <c r="E2" s="103" t="inlineStr">
        <is>
          <t>Total
Actual</t>
        </is>
      </c>
      <c r="F2" s="104" t="n">
        <v>46258</v>
      </c>
      <c r="G2" s="105">
        <f>F2+7</f>
        <v/>
      </c>
      <c r="H2" s="106">
        <f>G2+7</f>
        <v/>
      </c>
      <c r="I2" s="105">
        <f>H2+7</f>
        <v/>
      </c>
      <c r="J2" s="107">
        <f>I2+7</f>
        <v/>
      </c>
      <c r="K2" s="107">
        <f>J2+7</f>
        <v/>
      </c>
      <c r="L2" s="107">
        <f>K2+7</f>
        <v/>
      </c>
      <c r="M2" s="108">
        <f>L2+7</f>
        <v/>
      </c>
      <c r="N2" s="109">
        <f>M2+7</f>
        <v/>
      </c>
      <c r="O2" s="109">
        <f>N2+7</f>
        <v/>
      </c>
      <c r="P2" s="110">
        <f>O2+7</f>
        <v/>
      </c>
      <c r="Q2" s="109">
        <f>P2+7</f>
        <v/>
      </c>
      <c r="R2" s="110">
        <f>Q2+7</f>
        <v/>
      </c>
      <c r="S2" s="111">
        <f>R2+7</f>
        <v/>
      </c>
      <c r="T2" s="110">
        <f>S2+7</f>
        <v/>
      </c>
      <c r="U2" s="111">
        <f>T2+7</f>
        <v/>
      </c>
      <c r="V2" s="111">
        <f>U2+7</f>
        <v/>
      </c>
      <c r="W2" s="110" t="n"/>
      <c r="X2" s="112" t="inlineStr">
        <is>
          <t>Status</t>
        </is>
      </c>
      <c r="Y2" s="113" t="inlineStr">
        <is>
          <t>Comment</t>
        </is>
      </c>
      <c r="Z2" s="113" t="inlineStr">
        <is>
          <t>Legend</t>
        </is>
      </c>
      <c r="AA2" s="114" t="n"/>
      <c r="AB2" s="114" t="n"/>
    </row>
    <row r="3" ht="18.75" customHeight="1" s="94">
      <c r="A3" s="115" t="inlineStr">
        <is>
          <t>Class &amp; Meetings</t>
        </is>
      </c>
      <c r="B3" s="116" t="n"/>
      <c r="C3" s="117">
        <f>D3/$D$62</f>
        <v/>
      </c>
      <c r="D3" s="118">
        <f>D4+D7+D11+D14</f>
        <v/>
      </c>
      <c r="E3" s="119">
        <f>SUM(F3:W3)</f>
        <v/>
      </c>
      <c r="F3" s="120">
        <f>F4+F7+F11+F14</f>
        <v/>
      </c>
      <c r="G3" s="120">
        <f>G4+G7+G11+G14</f>
        <v/>
      </c>
      <c r="H3" s="120">
        <f>H4+H7+H11+H14</f>
        <v/>
      </c>
      <c r="I3" s="120">
        <f>I4+I7+I11+I14</f>
        <v/>
      </c>
      <c r="J3" s="120">
        <f>J4+J7+J11+J14</f>
        <v/>
      </c>
      <c r="K3" s="120">
        <f>K4+K7+K11+K14</f>
        <v/>
      </c>
      <c r="L3" s="120">
        <f>L4+L7+L11+L14</f>
        <v/>
      </c>
      <c r="M3" s="120">
        <f>M4+M7+M11+M14</f>
        <v/>
      </c>
      <c r="N3" s="120">
        <f>N4+N7+N11+N14</f>
        <v/>
      </c>
      <c r="O3" s="120">
        <f>O4+O7+O11+O14</f>
        <v/>
      </c>
      <c r="P3" s="120">
        <f>P4+P7+P11+P14</f>
        <v/>
      </c>
      <c r="Q3" s="120">
        <f>Q4+Q7+Q11+Q14</f>
        <v/>
      </c>
      <c r="R3" s="120">
        <f>R4+R7+R11+R14</f>
        <v/>
      </c>
      <c r="S3" s="120">
        <f>S4+S7+S11+S14</f>
        <v/>
      </c>
      <c r="T3" s="120">
        <f>T4+T7+T11+T14</f>
        <v/>
      </c>
      <c r="U3" s="120">
        <f>U4+U7+U11+U14</f>
        <v/>
      </c>
      <c r="V3" s="120">
        <f>V4+V7+V11+V14</f>
        <v/>
      </c>
      <c r="W3" s="121" t="n"/>
      <c r="X3" s="122" t="n"/>
      <c r="Y3" s="100" t="n"/>
      <c r="Z3" s="123" t="inlineStr">
        <is>
          <t>Baseline (DO NOT CHANGE)</t>
        </is>
      </c>
      <c r="AA3" s="124" t="inlineStr">
        <is>
          <t>#</t>
        </is>
      </c>
      <c r="AB3" s="125" t="n"/>
    </row>
    <row r="4" ht="18.75" customHeight="1" s="94">
      <c r="A4" s="126" t="n"/>
      <c r="B4" s="127" t="inlineStr">
        <is>
          <t>Class</t>
        </is>
      </c>
      <c r="D4" s="128">
        <f>SUM(D5:D6)</f>
        <v/>
      </c>
      <c r="E4" s="129">
        <f>SUM(F4:W4)</f>
        <v/>
      </c>
      <c r="F4" s="130">
        <f>SUM(F5:F6)</f>
        <v/>
      </c>
      <c r="G4" s="130">
        <f>SUM(G5:G6)</f>
        <v/>
      </c>
      <c r="H4" s="130">
        <f>SUM(H5:H6)</f>
        <v/>
      </c>
      <c r="I4" s="130">
        <f>SUM(I5:I6)</f>
        <v/>
      </c>
      <c r="J4" s="130">
        <f>SUM(J5:J6)</f>
        <v/>
      </c>
      <c r="K4" s="130">
        <f>SUM(K5:K6)</f>
        <v/>
      </c>
      <c r="L4" s="130">
        <f>SUM(L5:L6)</f>
        <v/>
      </c>
      <c r="M4" s="130">
        <f>SUM(M5:M6)</f>
        <v/>
      </c>
      <c r="N4" s="130">
        <f>SUM(N5:N6)</f>
        <v/>
      </c>
      <c r="O4" s="130">
        <f>SUM(O5:O6)</f>
        <v/>
      </c>
      <c r="P4" s="130">
        <f>SUM(P5:P6)</f>
        <v/>
      </c>
      <c r="Q4" s="130">
        <f>SUM(Q5:Q6)</f>
        <v/>
      </c>
      <c r="R4" s="130">
        <f>SUM(R5:R6)</f>
        <v/>
      </c>
      <c r="S4" s="130">
        <f>SUM(S5:S6)</f>
        <v/>
      </c>
      <c r="T4" s="130">
        <f>SUM(T5:T6)</f>
        <v/>
      </c>
      <c r="U4" s="130">
        <f>SUM(U5:U6)</f>
        <v/>
      </c>
      <c r="V4" s="130">
        <f>SUM(V5:V6)</f>
        <v/>
      </c>
      <c r="W4" s="131">
        <f>SUM(W5:W6)</f>
        <v/>
      </c>
      <c r="X4" s="132" t="inlineStr">
        <is>
          <t>Not Started</t>
        </is>
      </c>
      <c r="Y4" s="100" t="n"/>
      <c r="Z4" s="133" t="inlineStr">
        <is>
          <t>Re-Baseline</t>
        </is>
      </c>
      <c r="AA4" s="134" t="inlineStr">
        <is>
          <t>#</t>
        </is>
      </c>
      <c r="AB4" s="93" t="inlineStr">
        <is>
          <t>Rebaselining requires approval of Prof Palo</t>
        </is>
      </c>
    </row>
    <row r="5" ht="18.75" customHeight="1" s="94">
      <c r="A5" s="126" t="n"/>
      <c r="B5" s="135" t="n"/>
      <c r="C5" s="136" t="inlineStr">
        <is>
          <t>Lecture</t>
        </is>
      </c>
      <c r="D5" s="128" t="n">
        <v>15</v>
      </c>
      <c r="E5" s="129">
        <f>SUM(F5:W5)</f>
        <v/>
      </c>
      <c r="F5" s="137" t="n">
        <v>1</v>
      </c>
      <c r="G5" s="130" t="n">
        <v>1</v>
      </c>
      <c r="H5" s="130" t="n">
        <v>1</v>
      </c>
      <c r="I5" s="130" t="n">
        <v>1</v>
      </c>
      <c r="J5" s="130" t="n">
        <v>1</v>
      </c>
      <c r="K5" s="130" t="n">
        <v>1</v>
      </c>
      <c r="L5" s="130" t="n">
        <v>1</v>
      </c>
      <c r="M5" s="130" t="n">
        <v>1</v>
      </c>
      <c r="N5" s="130" t="n"/>
      <c r="O5" s="130" t="n"/>
      <c r="P5" s="130" t="n"/>
      <c r="Q5" s="130" t="n"/>
      <c r="R5" s="130" t="n"/>
      <c r="S5" s="138" t="n"/>
      <c r="T5" s="130" t="n"/>
      <c r="U5" s="130" t="n"/>
      <c r="V5" s="130" t="n"/>
      <c r="W5" s="130" t="n"/>
      <c r="X5" s="132" t="inlineStr">
        <is>
          <t>Ontime (In Progress)</t>
        </is>
      </c>
      <c r="Y5" s="100" t="n"/>
      <c r="Z5" s="139" t="inlineStr">
        <is>
          <t>Complete</t>
        </is>
      </c>
      <c r="AA5" s="140" t="inlineStr">
        <is>
          <t>#</t>
        </is>
      </c>
      <c r="AB5" s="125" t="inlineStr">
        <is>
          <t># incidicates # of hrs worked</t>
        </is>
      </c>
    </row>
    <row r="6" ht="18.75" customHeight="1" s="94">
      <c r="A6" s="141" t="n"/>
      <c r="B6" s="142" t="n"/>
      <c r="C6" s="143" t="inlineStr">
        <is>
          <t>Lab</t>
        </is>
      </c>
      <c r="D6" s="144" t="n">
        <v>20</v>
      </c>
      <c r="E6" s="145">
        <f>SUM(F6:W6)</f>
        <v/>
      </c>
      <c r="F6" s="146" t="n">
        <v>2</v>
      </c>
      <c r="G6" s="147" t="n">
        <v>2</v>
      </c>
      <c r="H6" s="147" t="n">
        <v>2</v>
      </c>
      <c r="I6" s="147" t="n">
        <v>2</v>
      </c>
      <c r="J6" s="147" t="n">
        <v>2</v>
      </c>
      <c r="K6" s="147" t="n">
        <v>2</v>
      </c>
      <c r="L6" s="147" t="n">
        <v>2</v>
      </c>
      <c r="M6" s="147" t="n">
        <v>2</v>
      </c>
      <c r="N6" s="147" t="n"/>
      <c r="O6" s="147" t="n"/>
      <c r="P6" s="147" t="n"/>
      <c r="Q6" s="147" t="n"/>
      <c r="R6" s="147" t="n"/>
      <c r="S6" s="148" t="n"/>
      <c r="T6" s="147" t="n"/>
      <c r="U6" s="147" t="n"/>
      <c r="V6" s="147" t="n"/>
      <c r="W6" s="147" t="n"/>
      <c r="X6" s="149" t="inlineStr">
        <is>
          <t>Ontime (In Progress)</t>
        </is>
      </c>
      <c r="Y6" s="100" t="n"/>
      <c r="Z6" s="133" t="inlineStr">
        <is>
          <t>Completed early</t>
        </is>
      </c>
      <c r="AA6" s="150" t="inlineStr">
        <is>
          <t>#</t>
        </is>
      </c>
      <c r="AB6" s="100" t="n"/>
    </row>
    <row r="7" ht="18.75" customHeight="1" s="94">
      <c r="A7" s="126" t="n"/>
      <c r="B7" s="127" t="inlineStr">
        <is>
          <t>Meetings</t>
        </is>
      </c>
      <c r="D7" s="128">
        <f>SUM(D8:D10)</f>
        <v/>
      </c>
      <c r="E7" s="129">
        <f>SUM(F7:W7)</f>
        <v/>
      </c>
      <c r="F7" s="151">
        <f>SUM(F8:F10)</f>
        <v/>
      </c>
      <c r="G7" s="151">
        <f>SUM(G8:G10)</f>
        <v/>
      </c>
      <c r="H7" s="151">
        <f>SUM(H8:H10)</f>
        <v/>
      </c>
      <c r="I7" s="151">
        <f>SUM(I8:I10)</f>
        <v/>
      </c>
      <c r="J7" s="151">
        <f>SUM(J8:J10)</f>
        <v/>
      </c>
      <c r="K7" s="151">
        <f>SUM(K8:K10)</f>
        <v/>
      </c>
      <c r="L7" s="151">
        <f>SUM(L8:L10)</f>
        <v/>
      </c>
      <c r="M7" s="151">
        <f>SUM(M8:M10)</f>
        <v/>
      </c>
      <c r="N7" s="151">
        <f>SUM(N8:N10)</f>
        <v/>
      </c>
      <c r="O7" s="151">
        <f>SUM(O8:O10)</f>
        <v/>
      </c>
      <c r="P7" s="151">
        <f>SUM(P8:P10)</f>
        <v/>
      </c>
      <c r="Q7" s="151">
        <f>SUM(Q8:Q10)</f>
        <v/>
      </c>
      <c r="R7" s="151">
        <f>SUM(R8:R10)</f>
        <v/>
      </c>
      <c r="S7" s="151">
        <f>SUM(S8:S10)</f>
        <v/>
      </c>
      <c r="T7" s="151">
        <f>SUM(T8:T10)</f>
        <v/>
      </c>
      <c r="U7" s="151">
        <f>SUM(U8:U10)</f>
        <v/>
      </c>
      <c r="V7" s="151">
        <f>SUM(V8:V10)</f>
        <v/>
      </c>
      <c r="W7" s="131">
        <f>SUM(W8:W10)</f>
        <v/>
      </c>
      <c r="X7" s="132" t="inlineStr">
        <is>
          <t>Ontime (In Progress)</t>
        </is>
      </c>
      <c r="Y7" s="100" t="n"/>
      <c r="Z7" s="133" t="inlineStr">
        <is>
          <t>Late</t>
        </is>
      </c>
      <c r="AA7" s="152" t="inlineStr">
        <is>
          <t>#</t>
        </is>
      </c>
      <c r="AB7" s="100" t="n"/>
    </row>
    <row r="8" ht="18.75" customHeight="1" s="94">
      <c r="A8" s="126" t="n"/>
      <c r="B8" s="135" t="n"/>
      <c r="C8" s="136" t="inlineStr">
        <is>
          <t>Lab</t>
        </is>
      </c>
      <c r="D8" s="128" t="n">
        <v>9</v>
      </c>
      <c r="E8" s="129">
        <f>SUM(F8:W8)</f>
        <v/>
      </c>
      <c r="F8" s="137" t="n">
        <v>1</v>
      </c>
      <c r="G8" s="130" t="n">
        <v>1</v>
      </c>
      <c r="H8" s="130" t="n">
        <v>1</v>
      </c>
      <c r="I8" s="130" t="n">
        <v>1</v>
      </c>
      <c r="J8" s="130" t="n">
        <v>1</v>
      </c>
      <c r="K8" s="130" t="n">
        <v>1</v>
      </c>
      <c r="L8" s="130" t="n">
        <v>1</v>
      </c>
      <c r="M8" s="130" t="n">
        <v>1</v>
      </c>
      <c r="N8" s="130" t="n"/>
      <c r="O8" s="130" t="n"/>
      <c r="P8" s="130" t="n"/>
      <c r="Q8" s="130" t="n"/>
      <c r="R8" s="130" t="n"/>
      <c r="S8" s="138" t="n"/>
      <c r="T8" s="130" t="n"/>
      <c r="U8" s="130" t="n"/>
      <c r="V8" s="130" t="n"/>
      <c r="W8" s="130" t="n"/>
      <c r="X8" s="132" t="inlineStr">
        <is>
          <t>Ontime (In Progress)</t>
        </is>
      </c>
      <c r="Y8" s="100" t="n"/>
      <c r="Z8" s="133" t="inlineStr">
        <is>
          <t>Very Late</t>
        </is>
      </c>
      <c r="AA8" s="153" t="inlineStr">
        <is>
          <t>#</t>
        </is>
      </c>
      <c r="AB8" s="100" t="n"/>
    </row>
    <row r="9" ht="18.75" customHeight="1" s="94">
      <c r="A9" s="126" t="n"/>
      <c r="B9" s="135" t="n"/>
      <c r="C9" s="136" t="inlineStr">
        <is>
          <t>Full Team Mtg</t>
        </is>
      </c>
      <c r="D9" s="128" t="n">
        <v>12</v>
      </c>
      <c r="E9" s="129">
        <f>SUM(F9:W9)</f>
        <v/>
      </c>
      <c r="F9" s="137" t="n">
        <v>1</v>
      </c>
      <c r="G9" s="130" t="n">
        <v>1</v>
      </c>
      <c r="H9" s="130" t="n">
        <v>1</v>
      </c>
      <c r="I9" s="130" t="n">
        <v>1</v>
      </c>
      <c r="J9" s="130" t="n">
        <v>1</v>
      </c>
      <c r="K9" s="130" t="n">
        <v>1</v>
      </c>
      <c r="L9" s="130" t="n">
        <v>1</v>
      </c>
      <c r="M9" s="130" t="n">
        <v>1</v>
      </c>
      <c r="N9" s="130" t="n"/>
      <c r="O9" s="130" t="n"/>
      <c r="P9" s="130" t="n"/>
      <c r="Q9" s="130" t="n"/>
      <c r="R9" s="130" t="n"/>
      <c r="S9" s="138" t="n"/>
      <c r="T9" s="130" t="n"/>
      <c r="U9" s="130" t="n"/>
      <c r="V9" s="130" t="n"/>
      <c r="W9" s="130" t="n"/>
      <c r="X9" s="132" t="inlineStr">
        <is>
          <t>Ontime (In Progress)</t>
        </is>
      </c>
      <c r="Y9" s="100" t="n"/>
      <c r="Z9" s="154" t="n"/>
      <c r="AA9" s="155" t="n"/>
      <c r="AB9" s="100" t="n"/>
    </row>
    <row r="10" ht="18.75" customHeight="1" s="94">
      <c r="A10" s="141" t="n"/>
      <c r="B10" s="142" t="n"/>
      <c r="C10" s="143" t="inlineStr">
        <is>
          <t>Subsys Meeting</t>
        </is>
      </c>
      <c r="D10" s="144" t="n">
        <v>12</v>
      </c>
      <c r="E10" s="145">
        <f>SUM(F10:W10)</f>
        <v/>
      </c>
      <c r="F10" s="146" t="n">
        <v>2</v>
      </c>
      <c r="G10" s="147" t="n">
        <v>1</v>
      </c>
      <c r="H10" s="147" t="n">
        <v>1</v>
      </c>
      <c r="I10" s="147" t="n">
        <v>1</v>
      </c>
      <c r="J10" s="147" t="n">
        <v>3</v>
      </c>
      <c r="K10" s="147" t="n">
        <v>2</v>
      </c>
      <c r="L10" s="147" t="n">
        <v>1.5</v>
      </c>
      <c r="M10" s="147" t="n">
        <v>1</v>
      </c>
      <c r="N10" s="147" t="n"/>
      <c r="O10" s="147" t="n"/>
      <c r="P10" s="147" t="n"/>
      <c r="Q10" s="147" t="n"/>
      <c r="R10" s="147" t="n"/>
      <c r="S10" s="148" t="n"/>
      <c r="T10" s="147" t="n"/>
      <c r="U10" s="147" t="n"/>
      <c r="V10" s="147" t="n"/>
      <c r="W10" s="147" t="n"/>
      <c r="X10" s="149" t="inlineStr">
        <is>
          <t>Ontime (In Progress)</t>
        </is>
      </c>
      <c r="Y10" s="100" t="n"/>
      <c r="Z10" s="154" t="n"/>
      <c r="AA10" s="125" t="n"/>
      <c r="AB10" s="100" t="n"/>
    </row>
    <row r="11" ht="18.75" customHeight="1" s="94">
      <c r="A11" s="126" t="n"/>
      <c r="B11" s="127" t="inlineStr">
        <is>
          <t>Project Prep</t>
        </is>
      </c>
      <c r="D11" s="128">
        <f>SUM(D12:D13)</f>
        <v/>
      </c>
      <c r="E11" s="129">
        <f>SUM(F11:W11)</f>
        <v/>
      </c>
      <c r="F11" s="151">
        <f>SUM(F12:F13)</f>
        <v/>
      </c>
      <c r="G11" s="151">
        <f>SUM(G12:G13)</f>
        <v/>
      </c>
      <c r="H11" s="151">
        <f>SUM(H12:H13)</f>
        <v/>
      </c>
      <c r="I11" s="151">
        <f>SUM(I12:I13)</f>
        <v/>
      </c>
      <c r="J11" s="151">
        <f>SUM(J12:J13)</f>
        <v/>
      </c>
      <c r="K11" s="151">
        <f>SUM(K12:K13)</f>
        <v/>
      </c>
      <c r="L11" s="151">
        <f>SUM(L12:L13)</f>
        <v/>
      </c>
      <c r="M11" s="151">
        <f>SUM(M12:M13)</f>
        <v/>
      </c>
      <c r="N11" s="151">
        <f>SUM(N12:N13)</f>
        <v/>
      </c>
      <c r="O11" s="151">
        <f>SUM(O12:O13)</f>
        <v/>
      </c>
      <c r="P11" s="151">
        <f>SUM(P12:P13)</f>
        <v/>
      </c>
      <c r="Q11" s="151">
        <f>SUM(Q12:Q13)</f>
        <v/>
      </c>
      <c r="R11" s="151">
        <f>SUM(R12:R13)</f>
        <v/>
      </c>
      <c r="S11" s="151">
        <f>SUM(S12:S13)</f>
        <v/>
      </c>
      <c r="T11" s="151">
        <f>SUM(T12:T13)</f>
        <v/>
      </c>
      <c r="U11" s="151">
        <f>SUM(U12:U13)</f>
        <v/>
      </c>
      <c r="V11" s="151">
        <f>SUM(V12:V13)</f>
        <v/>
      </c>
      <c r="W11" s="131">
        <f>SUM(W12:W13)</f>
        <v/>
      </c>
      <c r="X11" s="132" t="inlineStr">
        <is>
          <t>Ontime (In Progress)</t>
        </is>
      </c>
      <c r="Y11" s="100" t="n"/>
      <c r="Z11" s="133" t="inlineStr">
        <is>
          <t>Not Started</t>
        </is>
      </c>
      <c r="AA11" s="156" t="inlineStr">
        <is>
          <t>Not Started</t>
        </is>
      </c>
      <c r="AB11" s="100" t="n"/>
    </row>
    <row r="12" ht="18.75" customHeight="1" s="94">
      <c r="A12" s="126" t="n"/>
      <c r="B12" s="135" t="n"/>
      <c r="C12" s="136" t="inlineStr">
        <is>
          <t>Complete Paperwork</t>
        </is>
      </c>
      <c r="D12" s="128" t="n">
        <v>3</v>
      </c>
      <c r="E12" s="129">
        <f>SUM(F12:W12)</f>
        <v/>
      </c>
      <c r="F12" s="137" t="n">
        <v>3</v>
      </c>
      <c r="G12" s="130" t="n"/>
      <c r="H12" s="130" t="n"/>
      <c r="I12" s="130" t="n"/>
      <c r="J12" s="130" t="n"/>
      <c r="K12" s="130" t="n"/>
      <c r="L12" s="130" t="n"/>
      <c r="M12" s="130" t="n"/>
      <c r="N12" s="130" t="n"/>
      <c r="O12" s="130" t="n"/>
      <c r="P12" s="130" t="n"/>
      <c r="Q12" s="130" t="n"/>
      <c r="R12" s="130" t="n"/>
      <c r="S12" s="138" t="n"/>
      <c r="T12" s="130" t="n"/>
      <c r="U12" s="130" t="n"/>
      <c r="V12" s="130" t="n"/>
      <c r="W12" s="130" t="n"/>
      <c r="X12" s="132" t="inlineStr">
        <is>
          <t>Ontime (In Progress)</t>
        </is>
      </c>
      <c r="Y12" s="100" t="n"/>
      <c r="Z12" s="157" t="inlineStr">
        <is>
          <t>Completed</t>
        </is>
      </c>
      <c r="AA12" s="140" t="inlineStr">
        <is>
          <t>Complete</t>
        </is>
      </c>
      <c r="AB12" s="100" t="n"/>
    </row>
    <row r="13" ht="18.75" customHeight="1" s="94">
      <c r="A13" s="141" t="n"/>
      <c r="B13" s="142" t="n"/>
      <c r="C13" s="143" t="inlineStr">
        <is>
          <t>Read Documents</t>
        </is>
      </c>
      <c r="D13" s="144" t="n">
        <v>12</v>
      </c>
      <c r="E13" s="145">
        <f>SUM(F13:W13)</f>
        <v/>
      </c>
      <c r="F13" s="146" t="n">
        <v>4</v>
      </c>
      <c r="G13" s="147" t="n">
        <v>2</v>
      </c>
      <c r="H13" s="147" t="n">
        <v>4</v>
      </c>
      <c r="I13" s="147" t="n">
        <v>2</v>
      </c>
      <c r="J13" s="147" t="n"/>
      <c r="K13" s="147" t="n"/>
      <c r="L13" s="147" t="n"/>
      <c r="M13" s="147" t="n"/>
      <c r="N13" s="147" t="n"/>
      <c r="O13" s="147" t="n"/>
      <c r="P13" s="147" t="n"/>
      <c r="Q13" s="147" t="n"/>
      <c r="R13" s="147" t="n"/>
      <c r="S13" s="148" t="n"/>
      <c r="T13" s="147" t="n"/>
      <c r="U13" s="147" t="n"/>
      <c r="V13" s="147" t="n"/>
      <c r="W13" s="147" t="n"/>
      <c r="X13" s="149" t="inlineStr">
        <is>
          <t>Ontime (In Progress)</t>
        </is>
      </c>
      <c r="Y13" s="100" t="n"/>
      <c r="Z13" s="133" t="inlineStr">
        <is>
          <t>Completed early</t>
        </is>
      </c>
      <c r="AA13" s="158" t="inlineStr">
        <is>
          <t>Early</t>
        </is>
      </c>
      <c r="AB13" s="100" t="n"/>
    </row>
    <row r="14" ht="18.75" customHeight="1" s="94">
      <c r="A14" s="126" t="n"/>
      <c r="B14" s="127" t="inlineStr">
        <is>
          <t>Reviews</t>
        </is>
      </c>
      <c r="D14" s="128">
        <f>SUM(D15:D16)</f>
        <v/>
      </c>
      <c r="E14" s="129">
        <f>SUM(F14:W14)</f>
        <v/>
      </c>
      <c r="F14" s="151">
        <f>SUM(F15:F16)</f>
        <v/>
      </c>
      <c r="G14" s="151">
        <f>SUM(G15:G16)</f>
        <v/>
      </c>
      <c r="H14" s="151">
        <f>SUM(H15:H16)</f>
        <v/>
      </c>
      <c r="I14" s="151">
        <f>SUM(I15:I16)</f>
        <v/>
      </c>
      <c r="J14" s="151">
        <f>SUM(J15:J16)</f>
        <v/>
      </c>
      <c r="K14" s="151">
        <f>SUM(K15:K16)</f>
        <v/>
      </c>
      <c r="L14" s="151">
        <f>SUM(L15:L16)</f>
        <v/>
      </c>
      <c r="M14" s="151">
        <f>SUM(M15:M16)</f>
        <v/>
      </c>
      <c r="N14" s="151">
        <f>SUM(N15:N16)</f>
        <v/>
      </c>
      <c r="O14" s="151">
        <f>SUM(O15:O16)</f>
        <v/>
      </c>
      <c r="P14" s="151">
        <f>SUM(P15:P16)</f>
        <v/>
      </c>
      <c r="Q14" s="151">
        <f>SUM(Q15:Q16)</f>
        <v/>
      </c>
      <c r="R14" s="151">
        <f>SUM(R15:R16)</f>
        <v/>
      </c>
      <c r="S14" s="151">
        <f>SUM(S15:S16)</f>
        <v/>
      </c>
      <c r="T14" s="151">
        <f>SUM(T15:T16)</f>
        <v/>
      </c>
      <c r="U14" s="151">
        <f>SUM(U15:U16)</f>
        <v/>
      </c>
      <c r="V14" s="151">
        <f>SUM(V15:V16)</f>
        <v/>
      </c>
      <c r="W14" s="131">
        <f>SUM(W15:W16)</f>
        <v/>
      </c>
      <c r="X14" s="132" t="inlineStr">
        <is>
          <t>Not Started</t>
        </is>
      </c>
      <c r="Y14" s="100" t="n"/>
      <c r="Z14" s="133" t="inlineStr">
        <is>
          <t>Ontime and in progress</t>
        </is>
      </c>
      <c r="AA14" s="159" t="inlineStr">
        <is>
          <t>Ontime</t>
        </is>
      </c>
      <c r="AB14" s="100" t="n"/>
    </row>
    <row r="15" ht="18.75" customHeight="1" s="94">
      <c r="A15" s="126" t="n"/>
      <c r="B15" s="135" t="n"/>
      <c r="C15" s="136" t="inlineStr">
        <is>
          <t>Mid Sem Review</t>
        </is>
      </c>
      <c r="D15" s="128" t="n">
        <v>2</v>
      </c>
      <c r="E15" s="129">
        <f>SUM(F15:W15)</f>
        <v/>
      </c>
      <c r="F15" s="137" t="n"/>
      <c r="G15" s="130" t="n"/>
      <c r="H15" s="130" t="n"/>
      <c r="I15" s="130" t="n"/>
      <c r="J15" s="130" t="n"/>
      <c r="K15" s="130" t="n"/>
      <c r="L15" s="130" t="n"/>
      <c r="M15" s="160" t="n">
        <v>2</v>
      </c>
      <c r="N15" s="130" t="n"/>
      <c r="O15" s="134" t="n"/>
      <c r="P15" s="130" t="n"/>
      <c r="Q15" s="130" t="n"/>
      <c r="R15" s="130" t="n"/>
      <c r="S15" s="138" t="n"/>
      <c r="T15" s="130" t="n"/>
      <c r="U15" s="130" t="n"/>
      <c r="V15" s="130" t="n"/>
      <c r="W15" s="130" t="n"/>
      <c r="X15" s="132" t="inlineStr">
        <is>
          <t>Not Started</t>
        </is>
      </c>
      <c r="Y15" s="100" t="n"/>
      <c r="Z15" s="133" t="inlineStr">
        <is>
          <t>Late &lt;1wk</t>
        </is>
      </c>
      <c r="AA15" s="152" t="inlineStr">
        <is>
          <t>Late</t>
        </is>
      </c>
      <c r="AB15" s="100" t="n"/>
    </row>
    <row r="16" ht="18.75" customHeight="1" s="94">
      <c r="A16" s="141" t="n"/>
      <c r="B16" s="142" t="n"/>
      <c r="C16" s="143" t="inlineStr">
        <is>
          <t>EOS Review</t>
        </is>
      </c>
      <c r="D16" s="144" t="n">
        <v>2</v>
      </c>
      <c r="E16" s="145">
        <f>SUM(F16:W16)</f>
        <v/>
      </c>
      <c r="F16" s="146" t="n"/>
      <c r="G16" s="147" t="n"/>
      <c r="H16" s="147" t="n"/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8" t="n"/>
      <c r="T16" s="147" t="n"/>
      <c r="U16" s="161" t="n"/>
      <c r="V16" s="147" t="n"/>
      <c r="W16" s="147" t="n"/>
      <c r="X16" s="149" t="inlineStr">
        <is>
          <t>Not Started</t>
        </is>
      </c>
      <c r="Y16" s="100" t="n"/>
      <c r="Z16" s="133" t="inlineStr">
        <is>
          <t>Late &gt;1wk</t>
        </is>
      </c>
      <c r="AA16" s="153" t="inlineStr">
        <is>
          <t>Very Late</t>
        </is>
      </c>
      <c r="AB16" s="100" t="n"/>
    </row>
    <row r="17" ht="18.75" customHeight="1" s="94">
      <c r="A17" s="162" t="inlineStr">
        <is>
          <t>Documentation</t>
        </is>
      </c>
      <c r="B17" s="116" t="n"/>
      <c r="C17" s="117">
        <f>D17/$D$62</f>
        <v/>
      </c>
      <c r="D17" s="118">
        <f>D18+D21+D23+D26</f>
        <v/>
      </c>
      <c r="E17" s="119">
        <f>SUM(F17:W17)</f>
        <v/>
      </c>
      <c r="F17" s="163">
        <f>F18+F21+F23+F26</f>
        <v/>
      </c>
      <c r="G17" s="163">
        <f>G18+G21+G23+G26</f>
        <v/>
      </c>
      <c r="H17" s="163">
        <f>H18+H21+H23+H26</f>
        <v/>
      </c>
      <c r="I17" s="163">
        <f>I18+I21+I23+I26</f>
        <v/>
      </c>
      <c r="J17" s="163">
        <f>J18+J21+J23+J26</f>
        <v/>
      </c>
      <c r="K17" s="163">
        <f>K18+K21+K23+K26</f>
        <v/>
      </c>
      <c r="L17" s="163">
        <f>L18+L21+L23+L26</f>
        <v/>
      </c>
      <c r="M17" s="163">
        <f>M18+M21+M23+M26</f>
        <v/>
      </c>
      <c r="N17" s="163">
        <f>N18+N21+N23+N26</f>
        <v/>
      </c>
      <c r="O17" s="163">
        <f>O18+O21+O23+O26</f>
        <v/>
      </c>
      <c r="P17" s="163">
        <f>P18+P21+P23+P26</f>
        <v/>
      </c>
      <c r="Q17" s="163">
        <f>Q18+Q21+Q23+Q26</f>
        <v/>
      </c>
      <c r="R17" s="163">
        <f>R18+R21+R23+R26</f>
        <v/>
      </c>
      <c r="S17" s="163">
        <f>S18+S21+S23+S26</f>
        <v/>
      </c>
      <c r="T17" s="163">
        <f>T18+T21+T23+T26</f>
        <v/>
      </c>
      <c r="U17" s="163">
        <f>U18+U21+U23+U26</f>
        <v/>
      </c>
      <c r="V17" s="163">
        <f>V18+V21+V23+V26</f>
        <v/>
      </c>
      <c r="W17" s="164" t="n"/>
      <c r="X17" s="165" t="n"/>
      <c r="Y17" s="100" t="n"/>
      <c r="AA17" s="166" t="n"/>
      <c r="AB17" s="100" t="n"/>
    </row>
    <row r="18" ht="18.75" customHeight="1" s="94">
      <c r="A18" s="126" t="n"/>
      <c r="B18" s="127" t="inlineStr">
        <is>
          <t>Semester Planning</t>
        </is>
      </c>
      <c r="D18" s="128">
        <f>SUM(D19:D20)</f>
        <v/>
      </c>
      <c r="E18" s="129">
        <f>SUM(F18:W18)</f>
        <v/>
      </c>
      <c r="F18" s="151">
        <f>SUM(F19:F20)</f>
        <v/>
      </c>
      <c r="G18" s="151">
        <f>SUM(G19:G20)</f>
        <v/>
      </c>
      <c r="H18" s="151">
        <f>SUM(H19:H20)</f>
        <v/>
      </c>
      <c r="I18" s="151">
        <f>SUM(I19:I20)</f>
        <v/>
      </c>
      <c r="J18" s="151">
        <f>SUM(J19:J20)</f>
        <v/>
      </c>
      <c r="K18" s="151">
        <f>SUM(K19:K20)</f>
        <v/>
      </c>
      <c r="L18" s="151">
        <f>SUM(L19:L20)</f>
        <v/>
      </c>
      <c r="M18" s="151">
        <f>SUM(M19:M20)</f>
        <v/>
      </c>
      <c r="N18" s="151">
        <f>SUM(N19:N20)</f>
        <v/>
      </c>
      <c r="O18" s="151">
        <f>SUM(O19:O20)</f>
        <v/>
      </c>
      <c r="P18" s="151">
        <f>SUM(P19:P20)</f>
        <v/>
      </c>
      <c r="Q18" s="151">
        <f>SUM(Q19:Q20)</f>
        <v/>
      </c>
      <c r="R18" s="151">
        <f>SUM(R19:R20)</f>
        <v/>
      </c>
      <c r="S18" s="151">
        <f>SUM(S19:S20)</f>
        <v/>
      </c>
      <c r="T18" s="151">
        <f>SUM(T19:T20)</f>
        <v/>
      </c>
      <c r="U18" s="151">
        <f>SUM(U19:U20)</f>
        <v/>
      </c>
      <c r="V18" s="151">
        <f>SUM(V19:V20)</f>
        <v/>
      </c>
      <c r="W18" s="151">
        <f>SUM(W19:W20)</f>
        <v/>
      </c>
      <c r="X18" s="132" t="inlineStr">
        <is>
          <t>Complete</t>
        </is>
      </c>
      <c r="Y18" s="100" t="n"/>
      <c r="Z18" s="167" t="inlineStr">
        <is>
          <t>Notes</t>
        </is>
      </c>
      <c r="AB18" s="100" t="n"/>
    </row>
    <row r="19" ht="18.75" customHeight="1" s="94">
      <c r="A19" s="126" t="n"/>
      <c r="B19" s="135" t="n"/>
      <c r="C19" s="136" t="inlineStr">
        <is>
          <t>SOW</t>
        </is>
      </c>
      <c r="D19" s="128" t="n">
        <v>2</v>
      </c>
      <c r="E19" s="129">
        <f>SUM(F19:W19)</f>
        <v/>
      </c>
      <c r="F19" s="130" t="n">
        <v>1</v>
      </c>
      <c r="G19" s="168" t="n">
        <v>1</v>
      </c>
      <c r="H19" s="130" t="n"/>
      <c r="I19" s="130" t="n"/>
      <c r="J19" s="130" t="n"/>
      <c r="K19" s="130" t="n"/>
      <c r="L19" s="130" t="n"/>
      <c r="M19" s="130" t="n"/>
      <c r="N19" s="130" t="n"/>
      <c r="O19" s="130" t="n"/>
      <c r="P19" s="130" t="n"/>
      <c r="Q19" s="130" t="n"/>
      <c r="R19" s="130" t="n"/>
      <c r="S19" s="138" t="n"/>
      <c r="T19" s="130" t="n"/>
      <c r="U19" s="130" t="n"/>
      <c r="V19" s="130" t="n"/>
      <c r="W19" s="130" t="n"/>
      <c r="X19" s="132" t="inlineStr">
        <is>
          <t>Complete</t>
        </is>
      </c>
      <c r="Y19" s="100" t="n"/>
      <c r="Z19" s="169" t="inlineStr">
        <is>
          <t>If a task gets removed, use strikeout (alt+shift+5) so that it is still visible</t>
        </is>
      </c>
      <c r="AA19" s="170" t="n"/>
      <c r="AB19" s="100" t="n"/>
    </row>
    <row r="20" ht="18.75" customHeight="1" s="94">
      <c r="A20" s="141" t="n"/>
      <c r="B20" s="142" t="n"/>
      <c r="C20" s="143" t="inlineStr">
        <is>
          <t>Personal Plan</t>
        </is>
      </c>
      <c r="D20" s="144" t="n">
        <v>2</v>
      </c>
      <c r="E20" s="145">
        <f>SUM(F20:W20)</f>
        <v/>
      </c>
      <c r="F20" s="146" t="n"/>
      <c r="G20" s="147" t="n">
        <v>1</v>
      </c>
      <c r="H20" s="168" t="n">
        <v>1</v>
      </c>
      <c r="I20" s="147" t="n"/>
      <c r="J20" s="147" t="n"/>
      <c r="K20" s="147" t="n"/>
      <c r="L20" s="147" t="n"/>
      <c r="M20" s="147" t="n"/>
      <c r="N20" s="147" t="n"/>
      <c r="O20" s="147" t="n"/>
      <c r="P20" s="147" t="n"/>
      <c r="Q20" s="147" t="n"/>
      <c r="R20" s="147" t="n"/>
      <c r="S20" s="148" t="n"/>
      <c r="T20" s="147" t="n"/>
      <c r="U20" s="147" t="n"/>
      <c r="V20" s="147" t="n"/>
      <c r="W20" s="147" t="n"/>
      <c r="X20" s="149" t="inlineStr">
        <is>
          <t>Complete</t>
        </is>
      </c>
      <c r="Y20" s="100" t="n"/>
      <c r="Z20" s="171" t="n"/>
      <c r="AA20" s="172" t="n"/>
      <c r="AB20" s="100" t="n"/>
    </row>
    <row r="21" ht="18.75" customHeight="1" s="94">
      <c r="A21" s="126" t="n"/>
      <c r="B21" s="127" t="inlineStr">
        <is>
          <t>Weekly Reporting</t>
        </is>
      </c>
      <c r="D21" s="128" t="n">
        <v>6</v>
      </c>
      <c r="E21" s="129">
        <f>SUM(F21:W21)</f>
        <v/>
      </c>
      <c r="F21" s="151">
        <f>SUM(F22)</f>
        <v/>
      </c>
      <c r="G21" s="151">
        <f>SUM(G22)</f>
        <v/>
      </c>
      <c r="H21" s="151">
        <f>SUM(H22)</f>
        <v/>
      </c>
      <c r="I21" s="151">
        <f>SUM(I22)</f>
        <v/>
      </c>
      <c r="J21" s="151">
        <f>SUM(J22)</f>
        <v/>
      </c>
      <c r="K21" s="151">
        <f>SUM(K22)</f>
        <v/>
      </c>
      <c r="L21" s="151">
        <f>SUM(L22)</f>
        <v/>
      </c>
      <c r="M21" s="151">
        <f>SUM(M22)</f>
        <v/>
      </c>
      <c r="N21" s="151">
        <f>SUM(N22)</f>
        <v/>
      </c>
      <c r="O21" s="151">
        <f>SUM(O22)</f>
        <v/>
      </c>
      <c r="P21" s="151">
        <f>SUM(P22)</f>
        <v/>
      </c>
      <c r="Q21" s="151">
        <f>SUM(Q22)</f>
        <v/>
      </c>
      <c r="R21" s="151">
        <f>SUM(R22)</f>
        <v/>
      </c>
      <c r="S21" s="151">
        <f>SUM(S22)</f>
        <v/>
      </c>
      <c r="T21" s="151">
        <f>SUM(T22)</f>
        <v/>
      </c>
      <c r="U21" s="151">
        <f>SUM(U22)</f>
        <v/>
      </c>
      <c r="V21" s="151">
        <f>SUM(V22)</f>
        <v/>
      </c>
      <c r="W21" s="151">
        <f>SUM(W22)</f>
        <v/>
      </c>
      <c r="X21" s="132" t="inlineStr">
        <is>
          <t>Not Started</t>
        </is>
      </c>
      <c r="Y21" s="100" t="n"/>
      <c r="Z21" s="173" t="inlineStr">
        <is>
          <t>If a task gets rebaselined just add a RB square but also leave the original baseline marker</t>
        </is>
      </c>
      <c r="AA21" s="170" t="n"/>
      <c r="AB21" s="100" t="n"/>
    </row>
    <row r="22" ht="18.75" customHeight="1" s="94">
      <c r="A22" s="126" t="n"/>
      <c r="B22" s="135" t="n"/>
      <c r="C22" s="136" t="inlineStr">
        <is>
          <t>Quadcharts</t>
        </is>
      </c>
      <c r="D22" s="128" t="n">
        <v>6</v>
      </c>
      <c r="E22" s="129">
        <f>SUM(F22:W22)</f>
        <v/>
      </c>
      <c r="F22" s="137" t="n"/>
      <c r="G22" s="130" t="n"/>
      <c r="H22" s="130" t="n">
        <v>1</v>
      </c>
      <c r="I22" s="130" t="n">
        <v>1</v>
      </c>
      <c r="J22" s="130" t="n">
        <v>1</v>
      </c>
      <c r="K22" s="130" t="n">
        <v>1</v>
      </c>
      <c r="L22" s="130" t="n">
        <v>1</v>
      </c>
      <c r="M22" s="130" t="n">
        <v>1</v>
      </c>
      <c r="N22" s="130" t="n"/>
      <c r="O22" s="130" t="n"/>
      <c r="P22" s="130" t="n"/>
      <c r="Q22" s="130" t="n"/>
      <c r="R22" s="130" t="n"/>
      <c r="S22" s="138" t="n"/>
      <c r="T22" s="130" t="n"/>
      <c r="U22" s="130" t="n"/>
      <c r="V22" s="130" t="n"/>
      <c r="W22" s="130" t="n"/>
      <c r="X22" s="132" t="inlineStr">
        <is>
          <t>Not Started</t>
        </is>
      </c>
      <c r="Y22" s="100" t="n"/>
      <c r="Z22" s="171" t="n"/>
      <c r="AA22" s="172" t="n"/>
      <c r="AB22" s="100" t="n"/>
    </row>
    <row r="23" ht="18.75" customHeight="1" s="94">
      <c r="A23" s="126" t="n"/>
      <c r="B23" s="127" t="inlineStr">
        <is>
          <t>Review Prep</t>
        </is>
      </c>
      <c r="D23" s="128">
        <f>SUM(D24:D25)</f>
        <v/>
      </c>
      <c r="E23" s="129">
        <f>SUM(F23:W23)</f>
        <v/>
      </c>
      <c r="F23" s="151">
        <f>SUM(F24:F25)</f>
        <v/>
      </c>
      <c r="G23" s="131">
        <f>SUM(G24:G25)</f>
        <v/>
      </c>
      <c r="H23" s="131">
        <f>SUM(H24:H25)</f>
        <v/>
      </c>
      <c r="I23" s="131">
        <f>SUM(I24:I25)</f>
        <v/>
      </c>
      <c r="J23" s="131">
        <f>SUM(J24:J25)</f>
        <v/>
      </c>
      <c r="K23" s="131">
        <f>SUM(K24:K25)</f>
        <v/>
      </c>
      <c r="L23" s="131" t="n"/>
      <c r="M23" s="131" t="n"/>
      <c r="N23" s="131" t="n"/>
      <c r="O23" s="131" t="n"/>
      <c r="P23" s="130" t="n"/>
      <c r="Q23" s="131" t="n"/>
      <c r="R23" s="130" t="n"/>
      <c r="S23" s="138" t="n"/>
      <c r="T23" s="131" t="n"/>
      <c r="U23" s="131" t="n"/>
      <c r="V23" s="131" t="n"/>
      <c r="W23" s="131">
        <f>SUM(W24:W25)</f>
        <v/>
      </c>
      <c r="X23" s="132" t="inlineStr">
        <is>
          <t>Not Started</t>
        </is>
      </c>
      <c r="Y23" s="100" t="n"/>
      <c r="Z23" s="100" t="n"/>
      <c r="AA23" s="100" t="n"/>
      <c r="AB23" s="100" t="n"/>
    </row>
    <row r="24" ht="18.75" customHeight="1" s="94">
      <c r="A24" s="126" t="n"/>
      <c r="B24" s="135" t="n"/>
      <c r="C24" s="136" t="inlineStr">
        <is>
          <t>Mid Sem Review</t>
        </is>
      </c>
      <c r="D24" s="128" t="n">
        <v>5</v>
      </c>
      <c r="E24" s="129">
        <f>SUM(F24:W24)</f>
        <v/>
      </c>
      <c r="F24" s="137" t="n"/>
      <c r="G24" s="130" t="n"/>
      <c r="H24" s="130" t="n"/>
      <c r="I24" s="130" t="n"/>
      <c r="J24" s="130" t="n"/>
      <c r="K24" s="130" t="n"/>
      <c r="L24" s="130" t="n"/>
      <c r="M24" s="174" t="n">
        <v>5</v>
      </c>
      <c r="N24" s="130" t="n"/>
      <c r="O24" s="175" t="n"/>
      <c r="P24" s="130" t="n"/>
      <c r="Q24" s="130" t="n"/>
      <c r="R24" s="130" t="n"/>
      <c r="S24" s="138" t="n"/>
      <c r="T24" s="130" t="n"/>
      <c r="U24" s="130" t="n"/>
      <c r="V24" s="130" t="n"/>
      <c r="W24" s="130" t="n"/>
      <c r="X24" s="132" t="inlineStr">
        <is>
          <t>Not Started</t>
        </is>
      </c>
      <c r="Y24" s="100" t="n"/>
      <c r="Z24" s="100" t="n"/>
      <c r="AA24" s="100" t="n"/>
      <c r="AB24" s="100" t="n"/>
    </row>
    <row r="25" ht="18.75" customHeight="1" s="94">
      <c r="A25" s="141" t="n"/>
      <c r="B25" s="142" t="n"/>
      <c r="C25" s="143" t="inlineStr">
        <is>
          <t>EOS Review</t>
        </is>
      </c>
      <c r="D25" s="144" t="n">
        <v>10</v>
      </c>
      <c r="E25" s="145">
        <f>SUM(F25:W25)</f>
        <v/>
      </c>
      <c r="F25" s="146" t="n"/>
      <c r="G25" s="147" t="n"/>
      <c r="H25" s="147" t="n"/>
      <c r="I25" s="147" t="n"/>
      <c r="J25" s="147" t="n"/>
      <c r="K25" s="147" t="n"/>
      <c r="L25" s="147" t="n"/>
      <c r="M25" s="147" t="n"/>
      <c r="N25" s="147" t="n"/>
      <c r="O25" s="147" t="n"/>
      <c r="P25" s="147" t="n"/>
      <c r="Q25" s="147" t="n"/>
      <c r="R25" s="147" t="n"/>
      <c r="S25" s="148" t="n"/>
      <c r="T25" s="147" t="n"/>
      <c r="U25" s="174" t="n"/>
      <c r="V25" s="147" t="n"/>
      <c r="W25" s="147" t="n"/>
      <c r="X25" s="149" t="inlineStr">
        <is>
          <t>Not Started</t>
        </is>
      </c>
      <c r="Y25" s="100" t="n"/>
      <c r="Z25" s="100" t="n"/>
      <c r="AA25" s="100" t="n"/>
      <c r="AB25" s="100" t="n"/>
    </row>
    <row r="26" ht="18.75" customHeight="1" s="94">
      <c r="A26" s="126" t="n"/>
      <c r="B26" s="127" t="inlineStr">
        <is>
          <t>Final Report</t>
        </is>
      </c>
      <c r="D26" s="128">
        <f>SUM(D27:D28)</f>
        <v/>
      </c>
      <c r="E26" s="129">
        <f>SUM(F26:W26)</f>
        <v/>
      </c>
      <c r="F26" s="151">
        <f>SUM(F27:F28)</f>
        <v/>
      </c>
      <c r="G26" s="131">
        <f>SUM(G27:G28)</f>
        <v/>
      </c>
      <c r="H26" s="131">
        <f>SUM(H27:H28)</f>
        <v/>
      </c>
      <c r="I26" s="131">
        <f>SUM(I27:I28)</f>
        <v/>
      </c>
      <c r="J26" s="131">
        <f>SUM(J27:J28)</f>
        <v/>
      </c>
      <c r="K26" s="131">
        <f>SUM(K27:K28)</f>
        <v/>
      </c>
      <c r="L26" s="131" t="n"/>
      <c r="M26" s="131" t="n"/>
      <c r="N26" s="131" t="n"/>
      <c r="O26" s="131" t="n"/>
      <c r="P26" s="130" t="n"/>
      <c r="Q26" s="131" t="n"/>
      <c r="R26" s="130" t="n"/>
      <c r="S26" s="138" t="n"/>
      <c r="T26" s="130" t="n"/>
      <c r="U26" s="130" t="n"/>
      <c r="V26" s="130" t="n"/>
      <c r="W26" s="131">
        <f>SUM(W27:W28)</f>
        <v/>
      </c>
      <c r="X26" s="132" t="inlineStr">
        <is>
          <t>Not Started</t>
        </is>
      </c>
      <c r="Y26" s="100" t="n"/>
      <c r="Z26" s="100" t="n"/>
      <c r="AA26" s="100" t="n"/>
      <c r="AB26" s="100" t="n"/>
    </row>
    <row r="27" ht="18.75" customHeight="1" s="94">
      <c r="A27" s="126" t="n"/>
      <c r="B27" s="135" t="n"/>
      <c r="C27" s="136" t="inlineStr">
        <is>
          <t>Draft</t>
        </is>
      </c>
      <c r="D27" s="128" t="n">
        <v>15</v>
      </c>
      <c r="E27" s="129">
        <f>SUM(F27:W27)</f>
        <v/>
      </c>
      <c r="F27" s="137" t="n"/>
      <c r="G27" s="130" t="n"/>
      <c r="H27" s="130" t="n"/>
      <c r="I27" s="130" t="n"/>
      <c r="J27" s="130" t="n"/>
      <c r="K27" s="130" t="n"/>
      <c r="L27" s="130" t="n"/>
      <c r="M27" s="130" t="n"/>
      <c r="N27" s="130" t="n"/>
      <c r="O27" s="130" t="n"/>
      <c r="P27" s="176" t="n"/>
      <c r="Q27" s="130" t="n"/>
      <c r="R27" s="176" t="n"/>
      <c r="S27" s="138" t="n"/>
      <c r="T27" s="177" t="n"/>
      <c r="U27" s="130" t="n"/>
      <c r="V27" s="130" t="n"/>
      <c r="W27" s="130" t="n"/>
      <c r="X27" s="132" t="inlineStr">
        <is>
          <t>Not Started</t>
        </is>
      </c>
      <c r="Y27" s="100" t="n"/>
      <c r="Z27" s="100" t="n"/>
      <c r="AA27" s="100" t="n"/>
      <c r="AB27" s="100" t="n"/>
    </row>
    <row r="28" ht="18.75" customHeight="1" s="94">
      <c r="A28" s="141" t="n"/>
      <c r="B28" s="142" t="n"/>
      <c r="C28" s="143" t="inlineStr">
        <is>
          <t>Final Report</t>
        </is>
      </c>
      <c r="D28" s="144" t="n">
        <v>22</v>
      </c>
      <c r="E28" s="145">
        <f>SUM(F28:W28)</f>
        <v/>
      </c>
      <c r="F28" s="146" t="n"/>
      <c r="G28" s="147" t="n"/>
      <c r="H28" s="147" t="n"/>
      <c r="I28" s="147" t="n"/>
      <c r="J28" s="147" t="n"/>
      <c r="K28" s="147" t="n"/>
      <c r="L28" s="147" t="n"/>
      <c r="M28" s="147" t="n"/>
      <c r="N28" s="147" t="n"/>
      <c r="O28" s="147" t="n"/>
      <c r="P28" s="147" t="n"/>
      <c r="Q28" s="147" t="n"/>
      <c r="R28" s="147" t="n"/>
      <c r="S28" s="148" t="n"/>
      <c r="T28" s="147" t="n"/>
      <c r="U28" s="147" t="n"/>
      <c r="V28" s="174" t="n"/>
      <c r="W28" s="147" t="n"/>
      <c r="X28" s="149" t="inlineStr">
        <is>
          <t>Not Started</t>
        </is>
      </c>
      <c r="Y28" s="100" t="n"/>
      <c r="Z28" s="100" t="n"/>
      <c r="AA28" s="100" t="n"/>
      <c r="AB28" s="100" t="n"/>
    </row>
    <row r="29" ht="18.75" customHeight="1" s="94">
      <c r="A29" s="162" t="inlineStr">
        <is>
          <t>Technical</t>
        </is>
      </c>
      <c r="B29" s="116" t="n"/>
      <c r="C29" s="117">
        <f>D29/$D$62</f>
        <v/>
      </c>
      <c r="D29" s="118">
        <f>D30+D40+D47+D49+D59</f>
        <v/>
      </c>
      <c r="E29" s="119">
        <f>SUM(F29:W29)</f>
        <v/>
      </c>
      <c r="F29" s="163">
        <f>F30+F40+F47+F49+F59</f>
        <v/>
      </c>
      <c r="G29" s="163">
        <f>G30+G40+G47+G49+G59</f>
        <v/>
      </c>
      <c r="H29" s="163">
        <f>H30+H40+H47+H49+H59</f>
        <v/>
      </c>
      <c r="I29" s="163">
        <f>I30+I40+I47+I49+I59</f>
        <v/>
      </c>
      <c r="J29" s="163">
        <f>J30+J40+J47+J49+J59</f>
        <v/>
      </c>
      <c r="K29" s="163">
        <f>K30+K40+K47+K49+K59</f>
        <v/>
      </c>
      <c r="L29" s="163">
        <f>L30+L40+L47+L49+L59</f>
        <v/>
      </c>
      <c r="M29" s="163">
        <f>M30+M40+M47+M49+M59</f>
        <v/>
      </c>
      <c r="N29" s="163">
        <f>N30+N40+N47+N49+N59</f>
        <v/>
      </c>
      <c r="O29" s="163">
        <f>O30+O40+O47+O49+O59</f>
        <v/>
      </c>
      <c r="P29" s="163">
        <f>P30+P40+P47+P49+P59</f>
        <v/>
      </c>
      <c r="Q29" s="163">
        <f>Q30+Q40+Q47+Q49+Q59</f>
        <v/>
      </c>
      <c r="R29" s="163">
        <f>R30+R40+R47+R49+R59</f>
        <v/>
      </c>
      <c r="S29" s="163">
        <f>S30+S40+S47+S49+S59</f>
        <v/>
      </c>
      <c r="T29" s="163">
        <f>T30+T40+T47+T49+T59</f>
        <v/>
      </c>
      <c r="U29" s="163">
        <f>U30+U40+U47+U49+U59</f>
        <v/>
      </c>
      <c r="V29" s="163">
        <f>V30+V40+V47+V49+V59</f>
        <v/>
      </c>
      <c r="W29" s="164" t="n"/>
      <c r="X29" s="165" t="n"/>
      <c r="Y29" s="100" t="n"/>
      <c r="Z29" s="100" t="n"/>
      <c r="AA29" s="100" t="n"/>
      <c r="AB29" s="100" t="n"/>
    </row>
    <row r="30" ht="18.75" customHeight="1" s="94">
      <c r="A30" s="126" t="n"/>
      <c r="B30" s="127" t="inlineStr">
        <is>
          <t>MCT: Hydra Lithium Communication</t>
        </is>
      </c>
      <c r="D30" s="128">
        <f>SUM(D31:D39)</f>
        <v/>
      </c>
      <c r="E30" s="129">
        <f>SUM(F30:W30)</f>
        <v/>
      </c>
      <c r="F30" s="151">
        <f>SUM(F31:F39)</f>
        <v/>
      </c>
      <c r="G30" s="131">
        <f>SUM(G31:G39)</f>
        <v/>
      </c>
      <c r="H30" s="131">
        <f>SUM(H31:H39)</f>
        <v/>
      </c>
      <c r="I30" s="131">
        <f>SUM(I31:I39)</f>
        <v/>
      </c>
      <c r="J30" s="131">
        <f>SUM(J31:J39)</f>
        <v/>
      </c>
      <c r="K30" s="131">
        <f>SUM(K31:K39)</f>
        <v/>
      </c>
      <c r="L30" s="131">
        <f>SUM(L31:L39)</f>
        <v/>
      </c>
      <c r="M30" s="131">
        <f>SUM(M31:M39)</f>
        <v/>
      </c>
      <c r="N30" s="131">
        <f>SUM(N31:N39)</f>
        <v/>
      </c>
      <c r="O30" s="131">
        <f>SUM(O31:O39)</f>
        <v/>
      </c>
      <c r="P30" s="131">
        <f>SUM(P31:P39)</f>
        <v/>
      </c>
      <c r="Q30" s="131">
        <f>SUM(Q31:Q39)</f>
        <v/>
      </c>
      <c r="R30" s="131">
        <f>SUM(R31:R39)</f>
        <v/>
      </c>
      <c r="S30" s="131">
        <f>SUM(S31:S39)</f>
        <v/>
      </c>
      <c r="T30" s="131">
        <f>SUM(T31:T39)</f>
        <v/>
      </c>
      <c r="U30" s="131">
        <f>SUM(U31:U39)</f>
        <v/>
      </c>
      <c r="V30" s="131">
        <f>SUM(V31:V39)</f>
        <v/>
      </c>
      <c r="W30" s="131">
        <f>SUM(W31:W39)</f>
        <v/>
      </c>
      <c r="X30" s="132" t="inlineStr">
        <is>
          <t>Late &amp; Complete</t>
        </is>
      </c>
      <c r="Y30" s="100" t="inlineStr">
        <is>
          <t>Ran 10/8 with Saanika, commands acknowledged through Hydra to CDH to Li-2</t>
        </is>
      </c>
      <c r="Z30" s="100" t="n"/>
      <c r="AA30" s="100" t="n"/>
      <c r="AB30" s="100" t="n"/>
    </row>
    <row r="31" ht="18.75" customHeight="1" s="94">
      <c r="A31" s="126" t="n"/>
      <c r="B31" s="135" t="n"/>
      <c r="C31" s="136" t="inlineStr">
        <is>
          <t>MCT: Review test docs</t>
        </is>
      </c>
      <c r="D31" s="128" t="n">
        <v>1</v>
      </c>
      <c r="E31" s="129">
        <f>SUM(F31:W31)</f>
        <v/>
      </c>
      <c r="F31" s="137" t="n"/>
      <c r="G31" s="130" t="n"/>
      <c r="H31" s="130" t="n">
        <v>1</v>
      </c>
      <c r="I31" s="174" t="n">
        <v>1</v>
      </c>
      <c r="J31" s="130" t="n">
        <v>2</v>
      </c>
      <c r="K31" s="130" t="n"/>
      <c r="L31" s="130" t="n"/>
      <c r="M31" s="130" t="n"/>
      <c r="N31" s="130" t="n"/>
      <c r="O31" s="130" t="n"/>
      <c r="P31" s="130" t="n"/>
      <c r="Q31" s="130" t="n"/>
      <c r="R31" s="130" t="n"/>
      <c r="S31" s="138" t="n"/>
      <c r="T31" s="130" t="n"/>
      <c r="U31" s="130" t="n"/>
      <c r="V31" s="130" t="n"/>
      <c r="W31" s="130" t="n"/>
      <c r="X31" s="178" t="inlineStr">
        <is>
          <t>Complete</t>
        </is>
      </c>
      <c r="Y31" s="100" t="n"/>
      <c r="Z31" s="100" t="n"/>
      <c r="AA31" s="100" t="n"/>
      <c r="AB31" s="100" t="n"/>
    </row>
    <row r="32" ht="18.75" customHeight="1" s="94">
      <c r="A32" s="126" t="n"/>
      <c r="B32" s="135" t="n"/>
      <c r="C32" s="136" t="inlineStr">
        <is>
          <t>MCT: Bench setup</t>
        </is>
      </c>
      <c r="D32" s="128" t="n">
        <v>2</v>
      </c>
      <c r="E32" s="129">
        <f>SUM(F32:W32)</f>
        <v/>
      </c>
      <c r="F32" s="137" t="n"/>
      <c r="G32" s="130" t="n"/>
      <c r="H32" s="130" t="n"/>
      <c r="I32" s="176" t="n">
        <v>1</v>
      </c>
      <c r="J32" s="130" t="n">
        <v>2</v>
      </c>
      <c r="K32" s="177" t="n"/>
      <c r="L32" s="130" t="n"/>
      <c r="M32" s="130" t="n"/>
      <c r="N32" s="130" t="n"/>
      <c r="O32" s="130" t="n"/>
      <c r="P32" s="130" t="n"/>
      <c r="Q32" s="130" t="n"/>
      <c r="R32" s="130" t="n"/>
      <c r="S32" s="138" t="n"/>
      <c r="T32" s="130" t="n"/>
      <c r="U32" s="130" t="n"/>
      <c r="V32" s="130" t="n"/>
      <c r="W32" s="130" t="n"/>
      <c r="X32" s="178" t="inlineStr">
        <is>
          <t>Complete</t>
        </is>
      </c>
      <c r="Y32" s="100" t="n"/>
      <c r="Z32" s="100" t="n"/>
      <c r="AA32" s="100" t="n"/>
      <c r="AB32" s="100" t="n"/>
    </row>
    <row r="33" ht="18.75" customHeight="1" s="94">
      <c r="A33" s="126" t="n"/>
      <c r="B33" s="135" t="n"/>
      <c r="C33" s="136" t="inlineStr">
        <is>
          <t>Learning Hydra</t>
        </is>
      </c>
      <c r="D33" s="128" t="n">
        <v>4</v>
      </c>
      <c r="E33" s="129">
        <f>SUM(F33:W33)</f>
        <v/>
      </c>
      <c r="F33" s="137" t="n"/>
      <c r="G33" s="130" t="n"/>
      <c r="H33" s="130" t="n"/>
      <c r="I33" s="176" t="n"/>
      <c r="J33" s="130" t="n"/>
      <c r="K33" s="177" t="n">
        <v>2</v>
      </c>
      <c r="L33" s="130" t="n"/>
      <c r="M33" s="130" t="n"/>
      <c r="N33" s="130" t="n"/>
      <c r="O33" s="130" t="n"/>
      <c r="P33" s="130" t="n"/>
      <c r="Q33" s="130" t="n"/>
      <c r="R33" s="130" t="n"/>
      <c r="S33" s="138" t="n"/>
      <c r="T33" s="130" t="n"/>
      <c r="U33" s="130" t="n"/>
      <c r="V33" s="130" t="n"/>
      <c r="W33" s="130" t="n"/>
      <c r="X33" s="178" t="inlineStr">
        <is>
          <t>Complete</t>
        </is>
      </c>
      <c r="Y33" s="100" t="n"/>
      <c r="Z33" s="100" t="n"/>
      <c r="AA33" s="100" t="n"/>
      <c r="AB33" s="100" t="n"/>
    </row>
    <row r="34" ht="18.75" customHeight="1" s="94">
      <c r="A34" s="126" t="n"/>
      <c r="B34" s="135" t="n"/>
      <c r="C34" s="136" t="inlineStr">
        <is>
          <t>MCT: Hydra development</t>
        </is>
      </c>
      <c r="D34" s="128" t="n">
        <v>4</v>
      </c>
      <c r="E34" s="129">
        <f>SUM(F34:W34)</f>
        <v/>
      </c>
      <c r="F34" s="137" t="n"/>
      <c r="G34" s="130" t="n"/>
      <c r="H34" s="130" t="n"/>
      <c r="I34" s="176" t="n"/>
      <c r="J34" s="130" t="n"/>
      <c r="K34" s="177" t="n">
        <v>4</v>
      </c>
      <c r="L34" s="130" t="n"/>
      <c r="M34" s="130" t="n"/>
      <c r="N34" s="130" t="n"/>
      <c r="O34" s="130" t="n"/>
      <c r="P34" s="130" t="n"/>
      <c r="Q34" s="130" t="n"/>
      <c r="R34" s="130" t="n"/>
      <c r="S34" s="138" t="n"/>
      <c r="T34" s="130" t="n"/>
      <c r="U34" s="130" t="n"/>
      <c r="V34" s="130" t="n"/>
      <c r="W34" s="130" t="n"/>
      <c r="X34" s="178" t="inlineStr">
        <is>
          <t>Complete</t>
        </is>
      </c>
      <c r="Y34" s="100" t="n"/>
      <c r="Z34" s="100" t="n"/>
      <c r="AA34" s="100" t="n"/>
      <c r="AB34" s="100" t="n"/>
    </row>
    <row r="35" ht="18.75" customHeight="1" s="94">
      <c r="A35" s="126" t="n"/>
      <c r="B35" s="135" t="n"/>
      <c r="C35" s="136" t="inlineStr">
        <is>
          <t>MCT: Hydra hardwired to Li2</t>
        </is>
      </c>
      <c r="D35" s="128" t="n">
        <v>4</v>
      </c>
      <c r="E35" s="129">
        <f>SUM(F35:W35)</f>
        <v/>
      </c>
      <c r="F35" s="137" t="n"/>
      <c r="G35" s="130" t="n"/>
      <c r="H35" s="130" t="n"/>
      <c r="I35" s="176" t="n"/>
      <c r="J35" s="130" t="n"/>
      <c r="K35" s="177" t="n">
        <v>4</v>
      </c>
      <c r="L35" s="130" t="n"/>
      <c r="M35" s="130" t="n"/>
      <c r="N35" s="130" t="n"/>
      <c r="O35" s="130" t="n"/>
      <c r="P35" s="130" t="n"/>
      <c r="Q35" s="130" t="n"/>
      <c r="R35" s="130" t="n"/>
      <c r="S35" s="138" t="n"/>
      <c r="T35" s="130" t="n"/>
      <c r="U35" s="130" t="n"/>
      <c r="V35" s="130" t="n"/>
      <c r="W35" s="130" t="n"/>
      <c r="X35" s="178" t="inlineStr">
        <is>
          <t>Complete</t>
        </is>
      </c>
      <c r="Y35" s="100" t="n"/>
      <c r="Z35" s="100" t="n"/>
      <c r="AA35" s="100" t="n"/>
      <c r="AB35" s="100" t="n"/>
    </row>
    <row r="36" ht="18.75" customHeight="1" s="94">
      <c r="A36" s="126" t="n"/>
      <c r="B36" s="135" t="n"/>
      <c r="C36" s="136" t="inlineStr">
        <is>
          <t>MCT: Hydra hardwired to CDH to Li2</t>
        </is>
      </c>
      <c r="D36" s="128" t="n">
        <v>4</v>
      </c>
      <c r="E36" s="129">
        <f>SUM(F36:W36)</f>
        <v/>
      </c>
      <c r="F36" s="137" t="n"/>
      <c r="G36" s="130" t="n"/>
      <c r="H36" s="130" t="n"/>
      <c r="I36" s="176" t="n"/>
      <c r="J36" s="130" t="n"/>
      <c r="K36" s="177" t="n">
        <v>2</v>
      </c>
      <c r="L36" s="130" t="n"/>
      <c r="M36" s="130" t="n"/>
      <c r="N36" s="130" t="n"/>
      <c r="O36" s="130" t="n"/>
      <c r="P36" s="130" t="n"/>
      <c r="Q36" s="130" t="n"/>
      <c r="R36" s="130" t="n"/>
      <c r="S36" s="138" t="n"/>
      <c r="T36" s="130" t="n"/>
      <c r="U36" s="130" t="n"/>
      <c r="V36" s="130" t="n"/>
      <c r="W36" s="130" t="n"/>
      <c r="X36" s="178" t="inlineStr">
        <is>
          <t>Complete</t>
        </is>
      </c>
      <c r="Y36" s="100" t="n"/>
      <c r="Z36" s="100" t="n"/>
      <c r="AA36" s="100" t="n"/>
      <c r="AB36" s="100" t="n"/>
    </row>
    <row r="37" ht="18.75" customHeight="1" s="94">
      <c r="A37" s="126" t="n"/>
      <c r="B37" s="135" t="n"/>
      <c r="C37" s="136" t="inlineStr">
        <is>
          <t>MCT: Practice run-through of test</t>
        </is>
      </c>
      <c r="D37" s="128" t="n">
        <v>2</v>
      </c>
      <c r="E37" s="129">
        <f>SUM(F37:W37)</f>
        <v/>
      </c>
      <c r="F37" s="137" t="n"/>
      <c r="G37" s="130" t="n"/>
      <c r="H37" s="130" t="n"/>
      <c r="I37" s="176" t="n"/>
      <c r="J37" s="130" t="n"/>
      <c r="K37" s="177" t="n">
        <v>1</v>
      </c>
      <c r="L37" s="130" t="n">
        <v>1</v>
      </c>
      <c r="M37" s="130" t="n"/>
      <c r="N37" s="130" t="n"/>
      <c r="O37" s="130" t="n"/>
      <c r="P37" s="130" t="n"/>
      <c r="Q37" s="130" t="n"/>
      <c r="R37" s="130" t="n"/>
      <c r="S37" s="138" t="n"/>
      <c r="T37" s="130" t="n"/>
      <c r="U37" s="130" t="n"/>
      <c r="V37" s="130" t="n"/>
      <c r="W37" s="130" t="n"/>
      <c r="X37" s="178" t="inlineStr">
        <is>
          <t>Late &amp; Complete</t>
        </is>
      </c>
      <c r="Y37" s="100" t="n"/>
      <c r="Z37" s="100" t="n"/>
      <c r="AA37" s="100" t="n"/>
      <c r="AB37" s="100" t="n"/>
    </row>
    <row r="38" ht="18.75" customHeight="1" s="94">
      <c r="A38" s="126" t="n"/>
      <c r="B38" s="135" t="n"/>
      <c r="C38" s="136" t="inlineStr">
        <is>
          <t>MCT: Full run through of test</t>
        </is>
      </c>
      <c r="D38" s="128" t="n">
        <v>3</v>
      </c>
      <c r="E38" s="129">
        <f>SUM(F38:W38)</f>
        <v/>
      </c>
      <c r="F38" s="137" t="n"/>
      <c r="G38" s="130" t="n"/>
      <c r="H38" s="130" t="n"/>
      <c r="I38" s="176" t="n"/>
      <c r="J38" s="130" t="n"/>
      <c r="K38" s="130" t="n"/>
      <c r="L38" s="177" t="n">
        <v>3</v>
      </c>
      <c r="M38" s="130" t="n"/>
      <c r="N38" s="130" t="n"/>
      <c r="O38" s="130" t="n"/>
      <c r="P38" s="130" t="n"/>
      <c r="Q38" s="130" t="n"/>
      <c r="R38" s="130" t="n"/>
      <c r="S38" s="138" t="n"/>
      <c r="T38" s="130" t="n"/>
      <c r="U38" s="130" t="n"/>
      <c r="V38" s="130" t="n"/>
      <c r="W38" s="130" t="n"/>
      <c r="X38" s="178" t="inlineStr">
        <is>
          <t>Complete</t>
        </is>
      </c>
      <c r="Y38" s="100" t="n"/>
      <c r="Z38" s="100" t="n"/>
      <c r="AA38" s="100" t="n"/>
      <c r="AB38" s="100" t="n"/>
    </row>
    <row r="39" ht="18.75" customHeight="1" s="94">
      <c r="A39" s="126" t="n"/>
      <c r="B39" s="135" t="n"/>
      <c r="C39" s="136" t="inlineStr">
        <is>
          <t>MCT: Troubleshooting</t>
        </is>
      </c>
      <c r="D39" s="128" t="n">
        <v>2</v>
      </c>
      <c r="E39" s="129">
        <f>SUM(F39:W39)</f>
        <v/>
      </c>
      <c r="F39" s="137" t="n"/>
      <c r="G39" s="130" t="n"/>
      <c r="H39" s="130" t="n"/>
      <c r="I39" s="176" t="n"/>
      <c r="J39" s="130" t="n"/>
      <c r="K39" s="130" t="n"/>
      <c r="L39" s="177" t="n">
        <v>2</v>
      </c>
      <c r="M39" s="130" t="n"/>
      <c r="N39" s="130" t="n"/>
      <c r="O39" s="130" t="n"/>
      <c r="P39" s="130" t="n"/>
      <c r="Q39" s="130" t="n"/>
      <c r="R39" s="130" t="n"/>
      <c r="S39" s="138" t="n"/>
      <c r="T39" s="130" t="n"/>
      <c r="U39" s="130" t="n"/>
      <c r="V39" s="130" t="n"/>
      <c r="W39" s="130" t="n"/>
      <c r="X39" s="178" t="inlineStr">
        <is>
          <t>Complete</t>
        </is>
      </c>
      <c r="Y39" s="100" t="n"/>
      <c r="Z39" s="100" t="n"/>
      <c r="AA39" s="100" t="n"/>
      <c r="AB39" s="100" t="n"/>
    </row>
    <row r="40" ht="18.75" customHeight="1" s="94">
      <c r="A40" s="126" t="n"/>
      <c r="B40" s="127" t="inlineStr">
        <is>
          <t>SCT-1: Hydra Lithium Communication</t>
        </is>
      </c>
      <c r="D40" s="128">
        <f>SUM(D41:D46)</f>
        <v/>
      </c>
      <c r="E40" s="129">
        <f>SUM(F40:W40)</f>
        <v/>
      </c>
      <c r="F40" s="151">
        <f>SUM(F41:F46)</f>
        <v/>
      </c>
      <c r="G40" s="131">
        <f>SUM(G41:G46)</f>
        <v/>
      </c>
      <c r="H40" s="131">
        <f>SUM(H41:H46)</f>
        <v/>
      </c>
      <c r="I40" s="131">
        <f>SUM(I41:I46)</f>
        <v/>
      </c>
      <c r="J40" s="131">
        <f>SUM(J41:J46)</f>
        <v/>
      </c>
      <c r="K40" s="131">
        <f>SUM(K41:K46)</f>
        <v/>
      </c>
      <c r="L40" s="131">
        <f>SUM(L41:L46)</f>
        <v/>
      </c>
      <c r="M40" s="131">
        <f>SUM(M41:M46)</f>
        <v/>
      </c>
      <c r="N40" s="131">
        <f>SUM(N41:N46)</f>
        <v/>
      </c>
      <c r="O40" s="131">
        <f>SUM(O41:O46)</f>
        <v/>
      </c>
      <c r="P40" s="131">
        <f>SUM(P41:P46)</f>
        <v/>
      </c>
      <c r="Q40" s="131">
        <f>SUM(Q41:Q46)</f>
        <v/>
      </c>
      <c r="R40" s="131">
        <f>SUM(R41:R46)</f>
        <v/>
      </c>
      <c r="S40" s="131">
        <f>SUM(S41:S46)</f>
        <v/>
      </c>
      <c r="T40" s="131">
        <f>SUM(T41:T46)</f>
        <v/>
      </c>
      <c r="U40" s="131">
        <f>SUM(U41:U46)</f>
        <v/>
      </c>
      <c r="V40" s="131">
        <f>SUM(V41:V46)</f>
        <v/>
      </c>
      <c r="W40" s="131">
        <f>SUM(W41:W46)</f>
        <v/>
      </c>
      <c r="X40" s="132" t="inlineStr">
        <is>
          <t>Late (In Progress)</t>
        </is>
      </c>
      <c r="Y40" s="100" t="n"/>
      <c r="Z40" s="100" t="n"/>
      <c r="AA40" s="100" t="n"/>
      <c r="AB40" s="100" t="n"/>
    </row>
    <row r="41" ht="18.75" customHeight="1" s="94">
      <c r="A41" s="126" t="n"/>
      <c r="B41" s="135" t="n"/>
      <c r="C41" s="136" t="inlineStr">
        <is>
          <t>SCT-1: Review test docs</t>
        </is>
      </c>
      <c r="D41" s="128" t="n">
        <v>1</v>
      </c>
      <c r="E41" s="129">
        <f>SUM(F41:W41)</f>
        <v/>
      </c>
      <c r="F41" s="137" t="n"/>
      <c r="G41" s="130" t="n"/>
      <c r="H41" s="130" t="n"/>
      <c r="I41" s="176" t="n"/>
      <c r="J41" s="130" t="n"/>
      <c r="K41" s="130" t="n"/>
      <c r="L41" s="177" t="n">
        <v>2</v>
      </c>
      <c r="M41" s="130" t="n"/>
      <c r="N41" s="130" t="n"/>
      <c r="O41" s="130" t="n"/>
      <c r="P41" s="130" t="n"/>
      <c r="Q41" s="130" t="n"/>
      <c r="R41" s="130" t="n"/>
      <c r="S41" s="138" t="n"/>
      <c r="T41" s="130" t="n"/>
      <c r="U41" s="130" t="n"/>
      <c r="V41" s="130" t="n"/>
      <c r="W41" s="130" t="n"/>
      <c r="X41" s="178" t="inlineStr">
        <is>
          <t>Late (In Progress)</t>
        </is>
      </c>
      <c r="Y41" s="100" t="inlineStr">
        <is>
          <t>Started week of 10/5, finishing week of 10/12</t>
        </is>
      </c>
      <c r="Z41" s="100" t="n"/>
      <c r="AA41" s="100" t="n"/>
      <c r="AB41" s="100" t="n"/>
    </row>
    <row r="42" ht="18.75" customHeight="1" s="94">
      <c r="A42" s="126" t="n"/>
      <c r="B42" s="135" t="n"/>
      <c r="C42" s="136" t="inlineStr">
        <is>
          <t>SCT-1: Bench setup</t>
        </is>
      </c>
      <c r="D42" s="128" t="n">
        <v>2</v>
      </c>
      <c r="E42" s="129">
        <f>SUM(F42:W42)</f>
        <v/>
      </c>
      <c r="F42" s="137" t="n"/>
      <c r="G42" s="130" t="n"/>
      <c r="H42" s="130" t="n"/>
      <c r="I42" s="176" t="n"/>
      <c r="J42" s="130" t="n"/>
      <c r="K42" s="130" t="n"/>
      <c r="L42" s="130" t="n"/>
      <c r="M42" s="179" t="n">
        <v>2</v>
      </c>
      <c r="N42" s="130" t="n"/>
      <c r="O42" s="130" t="n"/>
      <c r="P42" s="130" t="n"/>
      <c r="Q42" s="130" t="n"/>
      <c r="R42" s="130" t="n"/>
      <c r="S42" s="138" t="n"/>
      <c r="T42" s="130" t="n"/>
      <c r="U42" s="130" t="n"/>
      <c r="V42" s="130" t="n"/>
      <c r="W42" s="130" t="n"/>
      <c r="X42" s="178" t="inlineStr">
        <is>
          <t>Complete</t>
        </is>
      </c>
      <c r="Y42" s="100" t="n"/>
      <c r="Z42" s="100" t="n"/>
      <c r="AA42" s="100" t="n"/>
      <c r="AB42" s="100" t="n"/>
    </row>
    <row r="43" ht="18.75" customHeight="1" s="94">
      <c r="A43" s="126" t="n"/>
      <c r="B43" s="135" t="n"/>
      <c r="C43" s="136" t="inlineStr">
        <is>
          <t>SCT-1: Hydra development</t>
        </is>
      </c>
      <c r="D43" s="128" t="n">
        <v>5</v>
      </c>
      <c r="E43" s="129">
        <f>SUM(F43:W43)</f>
        <v/>
      </c>
      <c r="F43" s="137" t="n"/>
      <c r="G43" s="130" t="n"/>
      <c r="H43" s="130" t="n"/>
      <c r="I43" s="176" t="n"/>
      <c r="J43" s="130" t="n"/>
      <c r="K43" s="130" t="n"/>
      <c r="L43" s="130" t="n"/>
      <c r="M43" s="177" t="n">
        <v>1</v>
      </c>
      <c r="N43" s="130" t="n"/>
      <c r="O43" s="130" t="n"/>
      <c r="P43" s="130" t="n"/>
      <c r="Q43" s="130" t="n"/>
      <c r="R43" s="130" t="n"/>
      <c r="S43" s="138" t="n"/>
      <c r="T43" s="130" t="n"/>
      <c r="U43" s="130" t="n"/>
      <c r="V43" s="130" t="n"/>
      <c r="W43" s="130" t="n"/>
      <c r="X43" s="178" t="inlineStr">
        <is>
          <t>Late (In Progress)</t>
        </is>
      </c>
      <c r="Y43" s="100" t="n"/>
      <c r="Z43" s="100" t="n"/>
      <c r="AA43" s="100" t="n"/>
      <c r="AB43" s="100" t="n"/>
    </row>
    <row r="44" ht="18.75" customHeight="1" s="94">
      <c r="A44" s="126" t="n"/>
      <c r="B44" s="135" t="n"/>
      <c r="C44" s="136" t="inlineStr">
        <is>
          <t>SCT-1: Practice run-through of test</t>
        </is>
      </c>
      <c r="D44" s="128" t="n">
        <v>2</v>
      </c>
      <c r="E44" s="129">
        <f>SUM(F44:W44)</f>
        <v/>
      </c>
      <c r="F44" s="137" t="n"/>
      <c r="G44" s="130" t="n"/>
      <c r="H44" s="130" t="n"/>
      <c r="I44" s="176" t="n"/>
      <c r="J44" s="130" t="n"/>
      <c r="K44" s="130" t="n"/>
      <c r="L44" s="130" t="n"/>
      <c r="M44" s="130" t="n">
        <v>1.5</v>
      </c>
      <c r="N44" s="177" t="n"/>
      <c r="O44" s="130" t="n"/>
      <c r="P44" s="130" t="n"/>
      <c r="Q44" s="130" t="n"/>
      <c r="R44" s="130" t="n"/>
      <c r="S44" s="138" t="n"/>
      <c r="T44" s="130" t="n"/>
      <c r="U44" s="130" t="n"/>
      <c r="V44" s="130" t="n"/>
      <c r="W44" s="130" t="n"/>
      <c r="X44" s="178" t="inlineStr">
        <is>
          <t>Ontime (In Progress)</t>
        </is>
      </c>
      <c r="Y44" s="100" t="n"/>
      <c r="Z44" s="100" t="n"/>
      <c r="AA44" s="100" t="n"/>
      <c r="AB44" s="100" t="n"/>
    </row>
    <row r="45" ht="18.75" customHeight="1" s="94">
      <c r="A45" s="126" t="n"/>
      <c r="B45" s="135" t="n"/>
      <c r="C45" s="136" t="inlineStr">
        <is>
          <t>SCT-1: Full run through of test</t>
        </is>
      </c>
      <c r="D45" s="128" t="n">
        <v>3</v>
      </c>
      <c r="E45" s="129">
        <f>SUM(F45:W45)</f>
        <v/>
      </c>
      <c r="F45" s="137" t="n"/>
      <c r="G45" s="130" t="n"/>
      <c r="H45" s="130" t="n"/>
      <c r="I45" s="176" t="n"/>
      <c r="J45" s="130" t="n"/>
      <c r="K45" s="130" t="n"/>
      <c r="L45" s="130" t="n"/>
      <c r="M45" s="130" t="n"/>
      <c r="N45" s="177" t="n"/>
      <c r="O45" s="130" t="n"/>
      <c r="P45" s="130" t="n"/>
      <c r="Q45" s="130" t="n"/>
      <c r="R45" s="130" t="n"/>
      <c r="S45" s="138" t="n"/>
      <c r="T45" s="130" t="n"/>
      <c r="U45" s="130" t="n"/>
      <c r="V45" s="130" t="n"/>
      <c r="W45" s="130" t="n"/>
      <c r="X45" s="178" t="inlineStr">
        <is>
          <t>Ontime (In Progress)</t>
        </is>
      </c>
      <c r="Y45" s="100" t="n"/>
      <c r="Z45" s="100" t="n"/>
      <c r="AA45" s="100" t="n"/>
      <c r="AB45" s="100" t="n"/>
    </row>
    <row r="46" ht="18.75" customHeight="1" s="94">
      <c r="A46" s="141" t="n"/>
      <c r="B46" s="142" t="n"/>
      <c r="C46" s="143" t="inlineStr">
        <is>
          <t>SCT-1: Troubleshooting</t>
        </is>
      </c>
      <c r="D46" s="144" t="n">
        <v>2</v>
      </c>
      <c r="E46" s="145">
        <f>SUM(F46:W46)</f>
        <v/>
      </c>
      <c r="F46" s="146" t="n"/>
      <c r="G46" s="147" t="n"/>
      <c r="H46" s="147" t="n"/>
      <c r="I46" s="147" t="n"/>
      <c r="J46" s="147" t="n"/>
      <c r="K46" s="180" t="n"/>
      <c r="L46" s="147" t="n"/>
      <c r="M46" s="147" t="n"/>
      <c r="N46" s="181" t="n"/>
      <c r="O46" s="147" t="n"/>
      <c r="P46" s="147" t="n"/>
      <c r="Q46" s="147" t="n"/>
      <c r="R46" s="147" t="n"/>
      <c r="S46" s="148" t="n"/>
      <c r="T46" s="147" t="n"/>
      <c r="U46" s="147" t="n"/>
      <c r="V46" s="147" t="n"/>
      <c r="W46" s="147" t="n"/>
      <c r="X46" s="149" t="inlineStr">
        <is>
          <t>Ontime (In Progress)</t>
        </is>
      </c>
      <c r="Y46" s="100" t="n"/>
      <c r="Z46" s="100" t="n"/>
      <c r="AA46" s="100" t="n"/>
      <c r="AB46" s="100" t="n"/>
    </row>
    <row r="47" ht="18.75" customHeight="1" s="94">
      <c r="A47" s="126" t="n"/>
      <c r="B47" s="127" t="inlineStr">
        <is>
          <t>Ground Station PC Architecture</t>
        </is>
      </c>
      <c r="D47" s="128">
        <f>SUM(D48:D48)</f>
        <v/>
      </c>
      <c r="E47" s="129">
        <f>SUM(F47:W47)</f>
        <v/>
      </c>
      <c r="F47" s="151">
        <f>SUM(F48:F48)</f>
        <v/>
      </c>
      <c r="G47" s="131">
        <f>SUM(G48:G48)</f>
        <v/>
      </c>
      <c r="H47" s="131">
        <f>SUM(H48:H48)</f>
        <v/>
      </c>
      <c r="I47" s="131">
        <f>SUM(I48:I48)</f>
        <v/>
      </c>
      <c r="J47" s="131">
        <f>SUM(J48:J48)</f>
        <v/>
      </c>
      <c r="K47" s="131">
        <f>SUM(K48:K48)</f>
        <v/>
      </c>
      <c r="L47" s="131">
        <f>SUM(L48:L48)</f>
        <v/>
      </c>
      <c r="M47" s="131">
        <f>SUM(M48:M48)</f>
        <v/>
      </c>
      <c r="N47" s="131">
        <f>SUM(N48:N48)</f>
        <v/>
      </c>
      <c r="O47" s="131">
        <f>SUM(O48:O48)</f>
        <v/>
      </c>
      <c r="P47" s="131">
        <f>SUM(P48:P48)</f>
        <v/>
      </c>
      <c r="Q47" s="131">
        <f>SUM(Q48:Q48)</f>
        <v/>
      </c>
      <c r="R47" s="131">
        <f>SUM(R48:R48)</f>
        <v/>
      </c>
      <c r="S47" s="131">
        <f>SUM(S48:S48)</f>
        <v/>
      </c>
      <c r="T47" s="131">
        <f>SUM(T48:T48)</f>
        <v/>
      </c>
      <c r="U47" s="131">
        <f>SUM(U48:U48)</f>
        <v/>
      </c>
      <c r="V47" s="131">
        <f>SUM(V48:V48)</f>
        <v/>
      </c>
      <c r="W47" s="131">
        <f>SUM(W48:W48)</f>
        <v/>
      </c>
      <c r="X47" s="132" t="inlineStr">
        <is>
          <t>Not Started</t>
        </is>
      </c>
      <c r="Y47" s="100" t="inlineStr">
        <is>
          <t>GS PC bring-up owned by Palo and Rainville as of 10/14</t>
        </is>
      </c>
      <c r="Z47" s="100" t="n"/>
      <c r="AA47" s="100" t="n"/>
      <c r="AB47" s="100" t="n"/>
    </row>
    <row r="48" ht="18.75" customHeight="1" s="94">
      <c r="A48" s="182" t="n"/>
      <c r="B48" s="183" t="n"/>
      <c r="C48" s="184" t="inlineStr">
        <is>
          <t>Verify GS PC in comms chain</t>
        </is>
      </c>
      <c r="D48" s="185" t="n">
        <v>8</v>
      </c>
      <c r="E48" s="186">
        <f>SUM(F48:W48)</f>
        <v/>
      </c>
      <c r="F48" s="187" t="n"/>
      <c r="G48" s="188" t="n"/>
      <c r="H48" s="188" t="n"/>
      <c r="I48" s="188" t="n"/>
      <c r="J48" s="188" t="n"/>
      <c r="K48" s="188" t="n"/>
      <c r="L48" s="188" t="n"/>
      <c r="M48" s="189" t="n"/>
      <c r="N48" s="190" t="n"/>
      <c r="O48" s="188" t="n"/>
      <c r="P48" s="188" t="n"/>
      <c r="Q48" s="188" t="n"/>
      <c r="R48" s="188" t="n"/>
      <c r="S48" s="191" t="n"/>
      <c r="T48" s="188" t="n"/>
      <c r="U48" s="188" t="n"/>
      <c r="V48" s="188" t="n"/>
      <c r="W48" s="188" t="n"/>
      <c r="X48" s="192" t="inlineStr">
        <is>
          <t>Not Started</t>
        </is>
      </c>
      <c r="Y48" s="100" t="inlineStr">
        <is>
          <t>Blocked until Palo/Rainville have the GS PC working, needs re-baseline (Palo approval)</t>
        </is>
      </c>
      <c r="Z48" s="100" t="n"/>
      <c r="AA48" s="100" t="n"/>
      <c r="AB48" s="100" t="n"/>
    </row>
    <row r="49" ht="18.75" customHeight="1" s="94">
      <c r="A49" s="126" t="n"/>
      <c r="B49" s="127" t="inlineStr">
        <is>
          <t>Running SCT-2</t>
        </is>
      </c>
      <c r="D49" s="128">
        <f>SUM(D50:D58)</f>
        <v/>
      </c>
      <c r="E49" s="129">
        <f>SUM(F49:W49)</f>
        <v/>
      </c>
      <c r="F49" s="151">
        <f>SUM(F50:F58)</f>
        <v/>
      </c>
      <c r="G49" s="131">
        <f>SUM(G50:G58)</f>
        <v/>
      </c>
      <c r="H49" s="131">
        <f>SUM(H50:H58)</f>
        <v/>
      </c>
      <c r="I49" s="131">
        <f>SUM(I50:I58)</f>
        <v/>
      </c>
      <c r="J49" s="131">
        <f>SUM(J50:J58)</f>
        <v/>
      </c>
      <c r="K49" s="131">
        <f>SUM(K50:K58)</f>
        <v/>
      </c>
      <c r="L49" s="131">
        <f>SUM(L50:L58)</f>
        <v/>
      </c>
      <c r="M49" s="131">
        <f>SUM(M50:M58)</f>
        <v/>
      </c>
      <c r="N49" s="131">
        <f>SUM(N50:N58)</f>
        <v/>
      </c>
      <c r="O49" s="131">
        <f>SUM(O50:O58)</f>
        <v/>
      </c>
      <c r="P49" s="130">
        <f>SUM(P50:P58)</f>
        <v/>
      </c>
      <c r="Q49" s="131">
        <f>SUM(Q50:Q58)</f>
        <v/>
      </c>
      <c r="R49" s="130">
        <f>SUM(R50:R58)</f>
        <v/>
      </c>
      <c r="S49" s="138">
        <f>SUM(S50:S58)</f>
        <v/>
      </c>
      <c r="T49" s="130">
        <f>SUM(T50:T58)</f>
        <v/>
      </c>
      <c r="U49" s="130">
        <f>SUM(U50:U58)</f>
        <v/>
      </c>
      <c r="V49" s="130">
        <f>SUM(V50:V58)</f>
        <v/>
      </c>
      <c r="W49" s="131">
        <f>SUM(W50:W58)</f>
        <v/>
      </c>
      <c r="X49" s="132" t="inlineStr">
        <is>
          <t>Not Started</t>
        </is>
      </c>
      <c r="Y49" s="100" t="n"/>
      <c r="Z49" s="100" t="n"/>
      <c r="AA49" s="100" t="n"/>
      <c r="AB49" s="100" t="n"/>
    </row>
    <row r="50" ht="18.75" customHeight="1" s="94">
      <c r="A50" s="126" t="n"/>
      <c r="B50" s="135" t="n"/>
      <c r="C50" s="136" t="inlineStr">
        <is>
          <t>Review SCT2 procedure</t>
        </is>
      </c>
      <c r="D50" s="128" t="n">
        <v>2</v>
      </c>
      <c r="E50" s="129">
        <f>SUM(F50:W50)</f>
        <v/>
      </c>
      <c r="F50" s="137" t="n"/>
      <c r="G50" s="130" t="n"/>
      <c r="H50" s="130" t="n"/>
      <c r="I50" s="130" t="n"/>
      <c r="J50" s="130" t="n"/>
      <c r="K50" s="130" t="n"/>
      <c r="L50" s="130" t="n"/>
      <c r="M50" s="130" t="n"/>
      <c r="N50" s="130" t="n"/>
      <c r="O50" s="177" t="n"/>
      <c r="P50" s="130" t="n"/>
      <c r="Q50" s="130" t="n"/>
      <c r="R50" s="130" t="n"/>
      <c r="S50" s="138" t="n"/>
      <c r="T50" s="130" t="n"/>
      <c r="U50" s="130" t="n"/>
      <c r="V50" s="130" t="n"/>
      <c r="W50" s="130" t="n"/>
      <c r="X50" s="132" t="inlineStr">
        <is>
          <t>Not Started</t>
        </is>
      </c>
      <c r="Y50" s="100" t="n"/>
      <c r="Z50" s="100" t="n"/>
      <c r="AA50" s="100" t="n"/>
      <c r="AB50" s="100" t="n"/>
    </row>
    <row r="51" ht="18.75" customHeight="1" s="94">
      <c r="A51" s="126" t="n"/>
      <c r="B51" s="135" t="n"/>
      <c r="C51" s="136" t="inlineStr">
        <is>
          <t>SCT-2: Develop Hydra for SCT-2</t>
        </is>
      </c>
      <c r="D51" s="128" t="n">
        <v>5</v>
      </c>
      <c r="E51" s="129">
        <f>SUM(F51:W51)</f>
        <v/>
      </c>
      <c r="F51" s="137" t="n"/>
      <c r="G51" s="130" t="n"/>
      <c r="H51" s="130" t="n"/>
      <c r="I51" s="130" t="n"/>
      <c r="J51" s="130" t="n"/>
      <c r="K51" s="130" t="n"/>
      <c r="L51" s="130" t="n"/>
      <c r="M51" s="130" t="n"/>
      <c r="N51" s="130" t="n"/>
      <c r="O51" s="130" t="n"/>
      <c r="P51" s="177" t="n"/>
      <c r="Q51" s="130" t="n"/>
      <c r="R51" s="130" t="n"/>
      <c r="S51" s="138" t="n"/>
      <c r="T51" s="130" t="n"/>
      <c r="U51" s="130" t="n"/>
      <c r="V51" s="130" t="n"/>
      <c r="W51" s="130" t="n"/>
      <c r="X51" s="132" t="inlineStr">
        <is>
          <t>Not Started</t>
        </is>
      </c>
      <c r="Y51" s="100" t="n"/>
      <c r="Z51" s="100" t="n"/>
      <c r="AA51" s="100" t="n"/>
      <c r="AB51" s="100" t="n"/>
    </row>
    <row r="52" ht="18.75" customHeight="1" s="94">
      <c r="A52" s="126" t="n"/>
      <c r="B52" s="135" t="n"/>
      <c r="C52" s="136" t="inlineStr">
        <is>
          <t>Reverify Hydra-Li Comms</t>
        </is>
      </c>
      <c r="D52" s="128" t="n">
        <v>5</v>
      </c>
      <c r="E52" s="129">
        <f>SUM(F52:W52)</f>
        <v/>
      </c>
      <c r="F52" s="137" t="n"/>
      <c r="G52" s="130" t="n"/>
      <c r="H52" s="130" t="n"/>
      <c r="I52" s="130" t="n"/>
      <c r="J52" s="130" t="n"/>
      <c r="K52" s="130" t="n"/>
      <c r="L52" s="130" t="n"/>
      <c r="M52" s="130" t="n"/>
      <c r="N52" s="130" t="n"/>
      <c r="O52" s="130" t="n"/>
      <c r="P52" s="177" t="n"/>
      <c r="Q52" s="130" t="n"/>
      <c r="R52" s="130" t="n"/>
      <c r="S52" s="138" t="n"/>
      <c r="T52" s="130" t="n"/>
      <c r="U52" s="130" t="n"/>
      <c r="V52" s="130" t="n"/>
      <c r="W52" s="130" t="n"/>
      <c r="X52" s="132" t="inlineStr">
        <is>
          <t>Not Started</t>
        </is>
      </c>
      <c r="Y52" s="100" t="n"/>
      <c r="Z52" s="100" t="n"/>
      <c r="AA52" s="100" t="n"/>
      <c r="AB52" s="100" t="n"/>
    </row>
    <row r="53" ht="18.75" customHeight="1" s="94">
      <c r="A53" s="126" t="n"/>
      <c r="B53" s="135" t="n"/>
      <c r="C53" s="136" t="inlineStr">
        <is>
          <t>Reverify GND station setup</t>
        </is>
      </c>
      <c r="D53" s="128" t="n">
        <v>5</v>
      </c>
      <c r="E53" s="129">
        <f>SUM(F53:W53)</f>
        <v/>
      </c>
      <c r="F53" s="137" t="n"/>
      <c r="G53" s="130" t="n"/>
      <c r="H53" s="130" t="n"/>
      <c r="I53" s="130" t="n"/>
      <c r="J53" s="130" t="n"/>
      <c r="K53" s="130" t="n"/>
      <c r="L53" s="130" t="n"/>
      <c r="M53" s="130" t="n"/>
      <c r="N53" s="130" t="n"/>
      <c r="O53" s="130" t="n"/>
      <c r="P53" s="130" t="n"/>
      <c r="Q53" s="177" t="n"/>
      <c r="R53" s="130" t="n"/>
      <c r="S53" s="138" t="n"/>
      <c r="T53" s="130" t="n"/>
      <c r="U53" s="130" t="n"/>
      <c r="V53" s="130" t="n"/>
      <c r="W53" s="130" t="n"/>
      <c r="X53" s="132" t="inlineStr">
        <is>
          <t>Not Started</t>
        </is>
      </c>
      <c r="Y53" s="100" t="n"/>
      <c r="Z53" s="100" t="n"/>
      <c r="AA53" s="100" t="n"/>
      <c r="AB53" s="100" t="n"/>
    </row>
    <row r="54" ht="18.75" customHeight="1" s="94">
      <c r="A54" s="126" t="n"/>
      <c r="B54" s="135" t="n"/>
      <c r="C54" s="136" t="inlineStr">
        <is>
          <t>Bench setup</t>
        </is>
      </c>
      <c r="D54" s="128" t="n">
        <v>3</v>
      </c>
      <c r="E54" s="129">
        <f>SUM(F54:W54)</f>
        <v/>
      </c>
      <c r="F54" s="137" t="n"/>
      <c r="G54" s="130" t="n"/>
      <c r="H54" s="130" t="n"/>
      <c r="I54" s="130" t="n"/>
      <c r="J54" s="130" t="n"/>
      <c r="K54" s="130" t="n"/>
      <c r="L54" s="130" t="n"/>
      <c r="M54" s="130" t="n"/>
      <c r="N54" s="130" t="n"/>
      <c r="O54" s="130" t="n"/>
      <c r="P54" s="130" t="n"/>
      <c r="Q54" s="177" t="n"/>
      <c r="R54" s="130" t="n"/>
      <c r="S54" s="138" t="n"/>
      <c r="T54" s="130" t="n"/>
      <c r="U54" s="130" t="n"/>
      <c r="V54" s="130" t="n"/>
      <c r="W54" s="130" t="n"/>
      <c r="X54" s="132" t="n"/>
      <c r="Y54" s="100" t="n"/>
      <c r="Z54" s="100" t="n"/>
      <c r="AA54" s="100" t="n"/>
      <c r="AB54" s="100" t="n"/>
    </row>
    <row r="55" ht="18.75" customHeight="1" s="94">
      <c r="A55" s="126" t="n"/>
      <c r="B55" s="135" t="n"/>
      <c r="C55" s="136" t="inlineStr">
        <is>
          <t>Practice run-through of SCT-2</t>
        </is>
      </c>
      <c r="D55" s="128" t="n">
        <v>3</v>
      </c>
      <c r="E55" s="129">
        <f>SUM(F55:W55)</f>
        <v/>
      </c>
      <c r="F55" s="137" t="n"/>
      <c r="G55" s="130" t="n"/>
      <c r="H55" s="130" t="n"/>
      <c r="I55" s="130" t="n"/>
      <c r="J55" s="130" t="n"/>
      <c r="K55" s="130" t="n"/>
      <c r="L55" s="130" t="n"/>
      <c r="M55" s="130" t="n"/>
      <c r="N55" s="130" t="n"/>
      <c r="O55" s="130" t="n"/>
      <c r="P55" s="130" t="n"/>
      <c r="Q55" s="130" t="n"/>
      <c r="R55" s="177" t="n"/>
      <c r="S55" s="138" t="n"/>
      <c r="T55" s="130" t="n"/>
      <c r="U55" s="130" t="n"/>
      <c r="V55" s="130" t="n"/>
      <c r="W55" s="130" t="n"/>
      <c r="X55" s="132" t="inlineStr">
        <is>
          <t>Not Started</t>
        </is>
      </c>
      <c r="Y55" s="100" t="n"/>
      <c r="Z55" s="100" t="n"/>
      <c r="AA55" s="100" t="n"/>
      <c r="AB55" s="100" t="n"/>
    </row>
    <row r="56" ht="18.75" customHeight="1" s="94">
      <c r="A56" s="126" t="n"/>
      <c r="B56" s="135" t="n"/>
      <c r="C56" s="136" t="inlineStr">
        <is>
          <t>Full SCT2 runthrough</t>
        </is>
      </c>
      <c r="D56" s="128" t="n">
        <v>6</v>
      </c>
      <c r="E56" s="129">
        <f>SUM(F56:W56)</f>
        <v/>
      </c>
      <c r="F56" s="137" t="n"/>
      <c r="G56" s="130" t="n"/>
      <c r="H56" s="130" t="n"/>
      <c r="I56" s="130" t="n"/>
      <c r="J56" s="130" t="n"/>
      <c r="K56" s="130" t="n"/>
      <c r="L56" s="130" t="n"/>
      <c r="M56" s="130" t="n"/>
      <c r="N56" s="130" t="n"/>
      <c r="O56" s="130" t="n"/>
      <c r="P56" s="130" t="n"/>
      <c r="Q56" s="130" t="n"/>
      <c r="R56" s="177" t="n"/>
      <c r="S56" s="138" t="n"/>
      <c r="T56" s="130" t="n"/>
      <c r="U56" s="130" t="n"/>
      <c r="V56" s="130" t="n"/>
      <c r="W56" s="130" t="n"/>
      <c r="X56" s="132" t="inlineStr">
        <is>
          <t>Not Started</t>
        </is>
      </c>
      <c r="Y56" s="100" t="n"/>
      <c r="Z56" s="100" t="n"/>
      <c r="AA56" s="100" t="n"/>
      <c r="AB56" s="100" t="n"/>
    </row>
    <row r="57" ht="18.75" customHeight="1" s="94">
      <c r="A57" s="126" t="n"/>
      <c r="B57" s="135" t="n"/>
      <c r="C57" s="136" t="inlineStr">
        <is>
          <t>Testing and troubleshooting</t>
        </is>
      </c>
      <c r="D57" s="128" t="n">
        <v>5</v>
      </c>
      <c r="E57" s="129">
        <f>SUM(F57:W57)</f>
        <v/>
      </c>
      <c r="F57" s="137" t="n"/>
      <c r="G57" s="130" t="n"/>
      <c r="H57" s="130" t="n"/>
      <c r="I57" s="130" t="n"/>
      <c r="J57" s="130" t="n"/>
      <c r="K57" s="130" t="n"/>
      <c r="L57" s="130" t="n"/>
      <c r="M57" s="130" t="n"/>
      <c r="N57" s="130" t="n"/>
      <c r="O57" s="130" t="n"/>
      <c r="P57" s="130" t="n"/>
      <c r="Q57" s="130" t="n"/>
      <c r="R57" s="130" t="n"/>
      <c r="S57" s="138" t="n"/>
      <c r="T57" s="177" t="n"/>
      <c r="U57" s="130" t="n"/>
      <c r="V57" s="130" t="n"/>
      <c r="W57" s="130" t="n"/>
      <c r="X57" s="132" t="inlineStr">
        <is>
          <t>Not Started</t>
        </is>
      </c>
      <c r="Y57" s="100" t="n"/>
      <c r="Z57" s="100" t="n"/>
      <c r="AA57" s="100" t="n"/>
      <c r="AB57" s="100" t="n"/>
    </row>
    <row r="58" ht="18.75" customHeight="1" s="94">
      <c r="A58" s="126" t="n"/>
      <c r="B58" s="135" t="n"/>
      <c r="C58" s="136" t="inlineStr">
        <is>
          <t>Post-test documentation review</t>
        </is>
      </c>
      <c r="D58" s="128" t="n">
        <v>3</v>
      </c>
      <c r="E58" s="129">
        <f>SUM(F58:W58)</f>
        <v/>
      </c>
      <c r="F58" s="137" t="n"/>
      <c r="G58" s="130" t="n"/>
      <c r="H58" s="130" t="n"/>
      <c r="I58" s="130" t="n"/>
      <c r="J58" s="130" t="n"/>
      <c r="K58" s="130" t="n"/>
      <c r="L58" s="130" t="n"/>
      <c r="M58" s="130" t="n"/>
      <c r="N58" s="130" t="n"/>
      <c r="O58" s="130" t="n"/>
      <c r="P58" s="130" t="n"/>
      <c r="Q58" s="130" t="n"/>
      <c r="R58" s="130" t="n"/>
      <c r="S58" s="138" t="n"/>
      <c r="T58" s="177" t="n"/>
      <c r="U58" s="130" t="n"/>
      <c r="V58" s="130" t="n"/>
      <c r="W58" s="130" t="n"/>
      <c r="X58" s="132" t="inlineStr">
        <is>
          <t>Not Started</t>
        </is>
      </c>
      <c r="Y58" s="100" t="n"/>
      <c r="Z58" s="100" t="n"/>
      <c r="AA58" s="100" t="n"/>
      <c r="AB58" s="100" t="n"/>
    </row>
    <row r="59" ht="18.75" customHeight="1" s="94">
      <c r="A59" s="126" t="n"/>
      <c r="B59" s="127" t="inlineStr">
        <is>
          <t>Management</t>
        </is>
      </c>
      <c r="D59" s="128">
        <f>SUM(D60:D61)</f>
        <v/>
      </c>
      <c r="E59" s="129">
        <f>SUM(F59:W59)</f>
        <v/>
      </c>
      <c r="F59" s="151">
        <f>SUM(F60:F61)</f>
        <v/>
      </c>
      <c r="G59" s="131">
        <f>SUM(G60:G61)</f>
        <v/>
      </c>
      <c r="H59" s="131">
        <f>SUM(H60:H61)</f>
        <v/>
      </c>
      <c r="I59" s="131">
        <f>SUM(I60:I61)</f>
        <v/>
      </c>
      <c r="J59" s="131">
        <f>SUM(J60:J61)</f>
        <v/>
      </c>
      <c r="K59" s="131">
        <f>SUM(K60:K61)</f>
        <v/>
      </c>
      <c r="L59" s="131">
        <f>SUM(L60:L61)</f>
        <v/>
      </c>
      <c r="M59" s="131">
        <f>SUM(M60:M61)</f>
        <v/>
      </c>
      <c r="N59" s="131">
        <f>SUM(N60:N61)</f>
        <v/>
      </c>
      <c r="O59" s="131">
        <f>SUM(O60:O61)</f>
        <v/>
      </c>
      <c r="P59" s="130">
        <f>SUM(P60:P61)</f>
        <v/>
      </c>
      <c r="Q59" s="131">
        <f>SUM(Q60:Q61)</f>
        <v/>
      </c>
      <c r="R59" s="130">
        <f>SUM(R60:R61)</f>
        <v/>
      </c>
      <c r="S59" s="138">
        <f>SUM(S60:S61)</f>
        <v/>
      </c>
      <c r="T59" s="130">
        <f>SUM(T60:T61)</f>
        <v/>
      </c>
      <c r="U59" s="130">
        <f>SUM(U60:U61)</f>
        <v/>
      </c>
      <c r="V59" s="130">
        <f>SUM(V60:V61)</f>
        <v/>
      </c>
      <c r="W59" s="131">
        <f>SUM(W60:W61)</f>
        <v/>
      </c>
      <c r="X59" s="132" t="inlineStr">
        <is>
          <t>Not Started</t>
        </is>
      </c>
      <c r="Y59" s="100" t="n"/>
      <c r="Z59" s="100" t="n"/>
      <c r="AA59" s="100" t="n"/>
      <c r="AB59" s="100" t="n"/>
    </row>
    <row r="60" ht="18.75" customHeight="1" s="94">
      <c r="A60" s="126" t="n"/>
      <c r="B60" s="135" t="n"/>
      <c r="C60" s="136" t="inlineStr">
        <is>
          <t>Onboarding</t>
        </is>
      </c>
      <c r="D60" s="128" t="n">
        <v>5</v>
      </c>
      <c r="E60" s="129">
        <f>SUM(F60:W60)</f>
        <v/>
      </c>
      <c r="F60" s="137" t="n"/>
      <c r="G60" s="130" t="n"/>
      <c r="H60" s="130" t="n"/>
      <c r="I60" s="130" t="n">
        <v>2</v>
      </c>
      <c r="J60" s="130" t="n">
        <v>2</v>
      </c>
      <c r="K60" s="130" t="n"/>
      <c r="L60" s="130" t="n"/>
      <c r="M60" s="130" t="n"/>
      <c r="N60" s="130" t="n"/>
      <c r="O60" s="130" t="n"/>
      <c r="P60" s="130" t="n"/>
      <c r="Q60" s="130" t="n"/>
      <c r="R60" s="130" t="n"/>
      <c r="S60" s="138" t="n"/>
      <c r="T60" s="130" t="n"/>
      <c r="U60" s="130" t="n"/>
      <c r="V60" s="130" t="n"/>
      <c r="W60" s="130" t="n"/>
      <c r="X60" s="132" t="inlineStr">
        <is>
          <t>Not Started</t>
        </is>
      </c>
      <c r="Y60" s="100" t="n"/>
      <c r="Z60" s="100" t="n"/>
      <c r="AA60" s="100" t="n"/>
      <c r="AB60" s="100" t="n"/>
    </row>
    <row r="61" ht="18.75" customHeight="1" s="94">
      <c r="A61" s="126" t="n"/>
      <c r="B61" s="135" t="n"/>
      <c r="C61" s="136" t="inlineStr">
        <is>
          <t>Documentation review</t>
        </is>
      </c>
      <c r="D61" s="128" t="n">
        <v>15</v>
      </c>
      <c r="E61" s="129">
        <f>SUM(F61:W61)</f>
        <v/>
      </c>
      <c r="F61" s="137" t="n"/>
      <c r="G61" s="130" t="n"/>
      <c r="H61" s="130" t="n"/>
      <c r="I61" s="130" t="n">
        <v>2</v>
      </c>
      <c r="J61" s="130" t="n">
        <v>2</v>
      </c>
      <c r="K61" s="130" t="n"/>
      <c r="L61" s="130" t="n"/>
      <c r="M61" s="130" t="n"/>
      <c r="N61" s="130" t="n"/>
      <c r="O61" s="130" t="n"/>
      <c r="P61" s="130" t="n"/>
      <c r="Q61" s="130" t="n"/>
      <c r="R61" s="130" t="n"/>
      <c r="S61" s="138" t="n"/>
      <c r="T61" s="130" t="n"/>
      <c r="U61" s="130" t="n"/>
      <c r="V61" s="130" t="n"/>
      <c r="W61" s="130" t="n"/>
      <c r="X61" s="132" t="inlineStr">
        <is>
          <t>Not Started</t>
        </is>
      </c>
      <c r="Y61" s="100" t="n"/>
      <c r="Z61" s="100" t="n"/>
      <c r="AA61" s="100" t="n"/>
      <c r="AB61" s="100" t="n"/>
    </row>
    <row r="62" ht="18.75" customHeight="1" s="94">
      <c r="B62" s="193" t="inlineStr">
        <is>
          <t>TOTALS:</t>
        </is>
      </c>
      <c r="C62" s="194" t="n"/>
      <c r="D62" s="195">
        <f>D29+D17+D3</f>
        <v/>
      </c>
      <c r="E62" s="195">
        <f>E29+E17+E3</f>
        <v/>
      </c>
      <c r="F62" s="195">
        <f>F29+F17+F3</f>
        <v/>
      </c>
      <c r="G62" s="195">
        <f>G29+G17+G3</f>
        <v/>
      </c>
      <c r="H62" s="195">
        <f>H29+H17+H3</f>
        <v/>
      </c>
      <c r="I62" s="195">
        <f>I29+I17+I3</f>
        <v/>
      </c>
      <c r="J62" s="195">
        <f>J29+J17+J3</f>
        <v/>
      </c>
      <c r="K62" s="195">
        <f>K29+K17+K3</f>
        <v/>
      </c>
      <c r="L62" s="195">
        <f>L29+L17+L3</f>
        <v/>
      </c>
      <c r="M62" s="195">
        <f>M29+M17+M3</f>
        <v/>
      </c>
      <c r="N62" s="195">
        <f>N29+N17+N3</f>
        <v/>
      </c>
      <c r="O62" s="195">
        <f>O29+O17+O3</f>
        <v/>
      </c>
      <c r="P62" s="195">
        <f>P29+P17+P3</f>
        <v/>
      </c>
      <c r="Q62" s="195">
        <f>Q29+Q17+Q3</f>
        <v/>
      </c>
      <c r="R62" s="195">
        <f>R29+R17+R3</f>
        <v/>
      </c>
      <c r="S62" s="195">
        <f>S29+S17+S3</f>
        <v/>
      </c>
      <c r="T62" s="195">
        <f>T29+T17+T3</f>
        <v/>
      </c>
      <c r="U62" s="195">
        <f>U29+U17+U3</f>
        <v/>
      </c>
      <c r="V62" s="195">
        <f>V29+V17+V3</f>
        <v/>
      </c>
      <c r="W62" s="195" t="n"/>
      <c r="X62" s="196" t="n"/>
      <c r="Y62" s="100" t="n"/>
      <c r="Z62" s="100" t="n"/>
      <c r="AA62" s="100" t="n"/>
      <c r="AB62" s="100" t="n"/>
    </row>
    <row r="63" ht="18.75" customHeight="1" s="94">
      <c r="C63" s="136" t="inlineStr">
        <is>
          <t>Target</t>
        </is>
      </c>
      <c r="D63" s="197">
        <f>SUM(F63:V63)</f>
        <v/>
      </c>
      <c r="E63" s="197">
        <f>SUM(F63:V63)</f>
        <v/>
      </c>
      <c r="F63" s="198" t="n">
        <v>15</v>
      </c>
      <c r="G63" s="198" t="n">
        <v>15</v>
      </c>
      <c r="H63" s="198" t="n">
        <v>15</v>
      </c>
      <c r="I63" s="198" t="n">
        <v>15</v>
      </c>
      <c r="J63" s="198" t="n">
        <v>15</v>
      </c>
      <c r="K63" s="198" t="n">
        <v>15</v>
      </c>
      <c r="L63" s="198" t="n">
        <v>15</v>
      </c>
      <c r="M63" s="198" t="n">
        <v>15</v>
      </c>
      <c r="N63" s="198" t="n">
        <v>15</v>
      </c>
      <c r="O63" s="198" t="n">
        <v>15</v>
      </c>
      <c r="P63" s="198" t="n">
        <v>15</v>
      </c>
      <c r="Q63" s="198" t="n">
        <v>15</v>
      </c>
      <c r="R63" s="198" t="n">
        <v>15</v>
      </c>
      <c r="S63" s="198" t="n">
        <v>0</v>
      </c>
      <c r="T63" s="198" t="n">
        <v>15</v>
      </c>
      <c r="U63" s="198" t="n">
        <v>15</v>
      </c>
      <c r="V63" s="198" t="n">
        <v>15</v>
      </c>
      <c r="Y63" s="100" t="n"/>
      <c r="Z63" s="100" t="n"/>
      <c r="AA63" s="100" t="n"/>
      <c r="AB63" s="100" t="n"/>
    </row>
    <row r="64" ht="18.75" customHeight="1" s="94">
      <c r="C64" s="136" t="inlineStr">
        <is>
          <t>Difference</t>
        </is>
      </c>
      <c r="D64" s="197">
        <f>D63-D62</f>
        <v/>
      </c>
      <c r="E64" s="197">
        <f>E63-E62</f>
        <v/>
      </c>
      <c r="F64" s="197">
        <f>F63-F62</f>
        <v/>
      </c>
      <c r="G64" s="197">
        <f>G63-G62</f>
        <v/>
      </c>
      <c r="H64" s="197">
        <f>H63-H62</f>
        <v/>
      </c>
      <c r="I64" s="197">
        <f>I63-I62</f>
        <v/>
      </c>
      <c r="J64" s="197">
        <f>J63-J62</f>
        <v/>
      </c>
      <c r="K64" s="197">
        <f>K63-K62</f>
        <v/>
      </c>
      <c r="L64" s="197">
        <f>L63-L62</f>
        <v/>
      </c>
      <c r="M64" s="197">
        <f>M63-M62</f>
        <v/>
      </c>
      <c r="N64" s="197">
        <f>N63-N62</f>
        <v/>
      </c>
      <c r="O64" s="197">
        <f>O63-O62</f>
        <v/>
      </c>
      <c r="P64" s="197">
        <f>P63-P62</f>
        <v/>
      </c>
      <c r="Q64" s="197">
        <f>Q63-Q62</f>
        <v/>
      </c>
      <c r="R64" s="197">
        <f>R63-R62</f>
        <v/>
      </c>
      <c r="S64" s="197">
        <f>S63-S62</f>
        <v/>
      </c>
      <c r="T64" s="197">
        <f>T63-T62</f>
        <v/>
      </c>
      <c r="U64" s="197">
        <f>U63-U62</f>
        <v/>
      </c>
      <c r="V64" s="197">
        <f>V63-V62</f>
        <v/>
      </c>
      <c r="Y64" s="199" t="n"/>
      <c r="Z64" s="200" t="n"/>
      <c r="AA64" s="199" t="n"/>
      <c r="AB64" s="199" t="n"/>
    </row>
    <row r="65" ht="18.75" customHeight="1" s="94"/>
    <row r="66" ht="18.75" customHeight="1" s="94"/>
    <row r="67" ht="18.75" customHeight="1" s="94"/>
    <row r="68" ht="18.75" customHeight="1" s="94"/>
    <row r="69" ht="18.75" customHeight="1" s="94"/>
    <row r="70" ht="18.75" customHeight="1" s="94"/>
    <row r="71" ht="18.75" customHeight="1" s="94"/>
    <row r="72" ht="18.75" customHeight="1" s="94"/>
    <row r="73" ht="18.75" customHeight="1" s="94"/>
    <row r="74" ht="18.75" customHeight="1" s="94"/>
    <row r="75" ht="18.75" customHeight="1" s="94"/>
    <row r="76" ht="18.75" customHeight="1" s="94"/>
    <row r="77" ht="18.75" customHeight="1" s="94"/>
    <row r="78" ht="18.75" customHeight="1" s="94"/>
    <row r="79" ht="18.75" customHeight="1" s="94"/>
    <row r="80" ht="18.75" customHeight="1" s="94"/>
    <row r="81" ht="18.75" customHeight="1" s="94"/>
    <row r="82" ht="18.75" customHeight="1" s="94"/>
    <row r="83" ht="18.75" customHeight="1" s="94"/>
    <row r="84" ht="18.75" customHeight="1" s="94"/>
    <row r="85" ht="18.75" customHeight="1" s="94"/>
    <row r="86" ht="18.75" customHeight="1" s="94"/>
    <row r="87" ht="18.75" customHeight="1" s="94"/>
    <row r="88" ht="18.75" customHeight="1" s="94"/>
    <row r="89" ht="18.75" customHeight="1" s="94"/>
    <row r="90" ht="18.75" customHeight="1" s="94"/>
    <row r="91" ht="18.75" customHeight="1" s="94"/>
    <row r="92" ht="18.75" customHeight="1" s="94"/>
    <row r="93" ht="18.75" customHeight="1" s="94"/>
    <row r="94" ht="18.75" customHeight="1" s="94"/>
    <row r="95" ht="18.75" customHeight="1" s="94"/>
    <row r="96" ht="18.75" customHeight="1" s="94"/>
    <row r="97" ht="18.75" customHeight="1" s="94"/>
    <row r="98" ht="18.75" customHeight="1" s="94"/>
    <row r="99" ht="18.75" customHeight="1" s="94"/>
    <row r="100" ht="18.75" customHeight="1" s="94"/>
    <row r="101" ht="18.75" customHeight="1" s="94"/>
    <row r="102" ht="18.75" customHeight="1" s="94"/>
    <row r="103" ht="18.75" customHeight="1" s="94"/>
    <row r="104" ht="18.75" customHeight="1" s="94"/>
    <row r="105" ht="18.75" customHeight="1" s="94"/>
    <row r="106" ht="18.75" customHeight="1" s="94"/>
    <row r="107" ht="18.75" customHeight="1" s="94"/>
    <row r="108" ht="18.75" customHeight="1" s="94"/>
    <row r="109" ht="18.75" customHeight="1" s="94"/>
    <row r="110" ht="18.75" customHeight="1" s="94"/>
    <row r="111" ht="18.75" customHeight="1" s="94"/>
    <row r="112" ht="18.75" customHeight="1" s="94"/>
    <row r="113" ht="18.75" customHeight="1" s="94"/>
    <row r="114" ht="18.75" customHeight="1" s="94"/>
    <row r="115" ht="18.75" customHeight="1" s="94"/>
    <row r="116" ht="18.75" customHeight="1" s="94"/>
    <row r="117" ht="18.75" customHeight="1" s="94"/>
    <row r="118" ht="18.75" customHeight="1" s="94"/>
    <row r="119" ht="18.75" customHeight="1" s="94"/>
    <row r="120" ht="18.75" customHeight="1" s="94"/>
    <row r="121" ht="18.75" customHeight="1" s="94"/>
    <row r="122" ht="18.75" customHeight="1" s="94"/>
    <row r="123" ht="18.75" customHeight="1" s="94"/>
    <row r="124" ht="18.75" customHeight="1" s="94"/>
    <row r="125" ht="18.75" customHeight="1" s="94"/>
    <row r="126" ht="18.75" customHeight="1" s="94"/>
    <row r="127" ht="18.75" customHeight="1" s="94"/>
    <row r="128" ht="18.75" customHeight="1" s="94"/>
    <row r="129" ht="18.75" customHeight="1" s="94"/>
    <row r="130" ht="18.75" customHeight="1" s="94"/>
    <row r="131" ht="18.75" customHeight="1" s="94"/>
    <row r="132" ht="18.75" customHeight="1" s="94"/>
    <row r="133" ht="18.75" customHeight="1" s="94"/>
    <row r="134" ht="18.75" customHeight="1" s="94"/>
    <row r="135" ht="18.75" customHeight="1" s="94"/>
    <row r="136" ht="18.75" customHeight="1" s="94"/>
    <row r="137" ht="18.75" customHeight="1" s="94"/>
    <row r="138" ht="18.75" customHeight="1" s="94"/>
    <row r="139" ht="18.75" customHeight="1" s="94"/>
    <row r="140" ht="18.75" customHeight="1" s="94"/>
    <row r="141" ht="18.75" customHeight="1" s="94"/>
    <row r="142" ht="18.75" customHeight="1" s="94"/>
    <row r="143" ht="18.75" customHeight="1" s="94"/>
    <row r="144" ht="18.75" customHeight="1" s="94"/>
    <row r="145" ht="18.75" customHeight="1" s="94"/>
    <row r="146" ht="18.75" customHeight="1" s="94"/>
    <row r="147" ht="18.75" customHeight="1" s="94"/>
    <row r="148" ht="18.75" customHeight="1" s="94"/>
    <row r="149" ht="18.75" customHeight="1" s="94"/>
    <row r="150" ht="18.75" customHeight="1" s="94"/>
    <row r="151" ht="18.75" customHeight="1" s="94"/>
    <row r="152" ht="18.75" customHeight="1" s="94"/>
    <row r="153" ht="18.75" customHeight="1" s="94"/>
    <row r="154" ht="18.75" customHeight="1" s="94"/>
    <row r="155" ht="18.75" customHeight="1" s="94"/>
    <row r="156" ht="18.75" customHeight="1" s="94"/>
    <row r="157" ht="18.75" customHeight="1" s="94"/>
    <row r="158" ht="18.75" customHeight="1" s="94"/>
    <row r="159" ht="18.75" customHeight="1" s="94"/>
    <row r="160" ht="18.75" customHeight="1" s="94"/>
    <row r="161" ht="18.75" customHeight="1" s="94"/>
    <row r="162" ht="18.75" customHeight="1" s="94"/>
    <row r="163" ht="18.75" customHeight="1" s="94"/>
    <row r="164" ht="18.75" customHeight="1" s="94"/>
    <row r="165" ht="18.75" customHeight="1" s="94"/>
    <row r="166" ht="18.75" customHeight="1" s="94"/>
    <row r="167" ht="18.75" customHeight="1" s="94"/>
    <row r="168" ht="18.75" customHeight="1" s="94"/>
    <row r="169" ht="18.75" customHeight="1" s="94"/>
    <row r="170" ht="18.75" customHeight="1" s="94"/>
    <row r="171" ht="18.75" customHeight="1" s="94"/>
    <row r="172" ht="18.75" customHeight="1" s="94"/>
    <row r="173" ht="18.75" customHeight="1" s="94"/>
    <row r="174" ht="18.75" customHeight="1" s="94"/>
    <row r="175" ht="18.75" customHeight="1" s="94"/>
    <row r="176" ht="18.75" customHeight="1" s="94"/>
    <row r="177" ht="18.75" customHeight="1" s="94"/>
    <row r="178" ht="18.75" customHeight="1" s="94"/>
    <row r="179" ht="18.75" customHeight="1" s="94"/>
    <row r="180" ht="18.75" customHeight="1" s="94"/>
    <row r="181" ht="18.75" customHeight="1" s="94"/>
    <row r="182" ht="18.75" customHeight="1" s="94"/>
    <row r="183" ht="18.75" customHeight="1" s="94"/>
    <row r="184" ht="18.75" customHeight="1" s="94"/>
    <row r="185" ht="18.75" customHeight="1" s="94"/>
    <row r="186" ht="18.75" customHeight="1" s="94"/>
    <row r="187" ht="18.75" customHeight="1" s="94"/>
    <row r="188" ht="18.75" customHeight="1" s="94"/>
    <row r="189" ht="18.75" customHeight="1" s="94"/>
    <row r="190" ht="18.75" customHeight="1" s="94"/>
    <row r="191" ht="18.75" customHeight="1" s="94"/>
    <row r="192" ht="18.75" customHeight="1" s="94"/>
    <row r="193" ht="18.75" customHeight="1" s="94"/>
    <row r="194" ht="18.75" customHeight="1" s="94"/>
    <row r="195" ht="18.75" customHeight="1" s="94"/>
    <row r="196" ht="18.75" customHeight="1" s="94"/>
    <row r="197" ht="18.75" customHeight="1" s="94"/>
    <row r="198" ht="18.75" customHeight="1" s="94"/>
    <row r="199" ht="18.75" customHeight="1" s="94"/>
    <row r="200" ht="18.75" customHeight="1" s="94"/>
    <row r="201" ht="18.75" customHeight="1" s="94"/>
    <row r="202" ht="18.75" customHeight="1" s="94"/>
    <row r="203" ht="18.75" customHeight="1" s="94"/>
    <row r="204" ht="18.75" customHeight="1" s="94"/>
    <row r="205" ht="18.75" customHeight="1" s="94"/>
    <row r="206" ht="18.75" customHeight="1" s="94"/>
    <row r="207" ht="18.75" customHeight="1" s="94"/>
    <row r="208" ht="18.75" customHeight="1" s="94"/>
    <row r="209" ht="18.75" customHeight="1" s="94"/>
    <row r="210" ht="18.75" customHeight="1" s="94"/>
    <row r="211" ht="18.75" customHeight="1" s="94"/>
    <row r="212" ht="18.75" customHeight="1" s="94"/>
    <row r="213" ht="18.75" customHeight="1" s="94"/>
    <row r="214" ht="18.75" customHeight="1" s="94"/>
    <row r="215" ht="18.75" customHeight="1" s="94"/>
    <row r="216" ht="18.75" customHeight="1" s="94"/>
    <row r="217" ht="18.75" customHeight="1" s="94"/>
    <row r="218" ht="18.75" customHeight="1" s="94"/>
    <row r="219" ht="18.75" customHeight="1" s="94"/>
    <row r="220" ht="18.75" customHeight="1" s="94"/>
    <row r="221" ht="18.75" customHeight="1" s="94"/>
    <row r="222" ht="18.75" customHeight="1" s="94"/>
    <row r="223" ht="18.75" customHeight="1" s="94"/>
    <row r="224" ht="18.75" customHeight="1" s="94"/>
    <row r="225" ht="18.75" customHeight="1" s="94"/>
    <row r="226" ht="18.75" customHeight="1" s="94"/>
    <row r="227" ht="18.75" customHeight="1" s="94"/>
    <row r="228" ht="18.75" customHeight="1" s="94"/>
    <row r="229" ht="18.75" customHeight="1" s="94"/>
    <row r="230" ht="18.75" customHeight="1" s="94"/>
    <row r="231" ht="18.75" customHeight="1" s="94"/>
    <row r="232" ht="18.75" customHeight="1" s="94"/>
    <row r="233" ht="18.75" customHeight="1" s="94"/>
    <row r="234" ht="18.75" customHeight="1" s="94"/>
    <row r="235" ht="18.75" customHeight="1" s="94"/>
    <row r="236" ht="18.75" customHeight="1" s="94"/>
    <row r="237" ht="18.75" customHeight="1" s="94"/>
    <row r="238" ht="18.75" customHeight="1" s="94"/>
    <row r="239" ht="18.75" customHeight="1" s="94"/>
    <row r="240" ht="18.75" customHeight="1" s="94"/>
    <row r="241" ht="18.75" customHeight="1" s="94"/>
    <row r="242" ht="18.75" customHeight="1" s="94"/>
    <row r="243" ht="18.75" customHeight="1" s="94"/>
    <row r="244" ht="18.75" customHeight="1" s="94"/>
    <row r="245" ht="18.75" customHeight="1" s="94"/>
    <row r="246" ht="18.75" customHeight="1" s="94"/>
    <row r="247" ht="18.75" customHeight="1" s="94"/>
    <row r="248" ht="18.75" customHeight="1" s="94"/>
    <row r="249" ht="18.75" customHeight="1" s="94"/>
    <row r="250" ht="18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1048574" ht="12.8" customHeight="1" s="94"/>
    <row r="1048575" ht="12.8" customHeight="1" s="94"/>
    <row r="1048576" ht="12.8" customHeight="1" s="94"/>
  </sheetData>
  <mergeCells count="23">
    <mergeCell ref="B47:C47"/>
    <mergeCell ref="B62:C62"/>
    <mergeCell ref="B7:C7"/>
    <mergeCell ref="D1:E1"/>
    <mergeCell ref="B59:C59"/>
    <mergeCell ref="B18:C18"/>
    <mergeCell ref="Z19:AA20"/>
    <mergeCell ref="B21:C21"/>
    <mergeCell ref="B11:C11"/>
    <mergeCell ref="A1:C2"/>
    <mergeCell ref="B23:C23"/>
    <mergeCell ref="B14:C14"/>
    <mergeCell ref="A3:B3"/>
    <mergeCell ref="Z18:AA18"/>
    <mergeCell ref="A17:B17"/>
    <mergeCell ref="B40:C40"/>
    <mergeCell ref="F1:W1"/>
    <mergeCell ref="B49:C49"/>
    <mergeCell ref="B30:C30"/>
    <mergeCell ref="A29:B29"/>
    <mergeCell ref="Z21:AA22"/>
    <mergeCell ref="B26:C26"/>
    <mergeCell ref="B4:C4"/>
  </mergeCells>
  <conditionalFormatting sqref="D4 D7 D18 D21 D30 D40 D47">
    <cfRule type="cellIs" rank="0" priority="2" equalAverage="0" operator="equal" aboveAverage="0" dxfId="0" text="" percent="0" bottom="0">
      <formula>0</formula>
    </cfRule>
  </conditionalFormatting>
  <conditionalFormatting sqref="D62:W62">
    <cfRule type="cellIs" rank="0" priority="3" equalAverage="0" operator="equal" aboveAverage="0" dxfId="1" text="" percent="0" bottom="0">
      <formula>0</formula>
    </cfRule>
  </conditionalFormatting>
  <conditionalFormatting sqref="E4:E10 E18:E22 E30:E48">
    <cfRule type="expression" rank="0" priority="4" equalAverage="0" aboveAverage="0" dxfId="2" text="" percent="0" bottom="0">
      <formula>E4&lt;D4</formula>
    </cfRule>
    <cfRule type="expression" rank="0" priority="5" equalAverage="0" aboveAverage="0" dxfId="3" text="" percent="0" bottom="0">
      <formula>E4&gt;D4</formula>
    </cfRule>
    <cfRule type="cellIs" rank="0" priority="6" equalAverage="0" operator="greaterThan" aboveAverage="0" dxfId="3" text="" percent="0" bottom="0">
      <formula>"D5"</formula>
    </cfRule>
    <cfRule type="cellIs" rank="0" priority="7" equalAverage="0" operator="equal" aboveAverage="0" dxfId="4" text="" percent="0" bottom="0">
      <formula>0</formula>
    </cfRule>
  </conditionalFormatting>
  <conditionalFormatting sqref="D62:W62 F7:W7 F18:W18 F21:W21 F30:W30 F40:W40 F47:W47 V4:W4">
    <cfRule type="cellIs" rank="0" priority="8" equalAverage="0" operator="equal" aboveAverage="0" dxfId="5" text="" percent="0" bottom="0">
      <formula>0</formula>
    </cfRule>
  </conditionalFormatting>
  <conditionalFormatting sqref="X4:X10 X18:X22 X30:X48">
    <cfRule type="cellIs" rank="0" priority="9" equalAverage="0" operator="equal" aboveAverage="0" dxfId="6" text="" percent="0" bottom="0">
      <formula>"Complete"</formula>
    </cfRule>
    <cfRule type="cellIs" rank="0" priority="10" equalAverage="0" operator="equal" aboveAverage="0" dxfId="7" text="" percent="0" bottom="0">
      <formula>"Early &amp; Complete"</formula>
    </cfRule>
    <cfRule type="cellIs" rank="0" priority="11" equalAverage="0" operator="equal" aboveAverage="0" dxfId="8" text="" percent="0" bottom="0">
      <formula>"Ontime (In Progress)"</formula>
    </cfRule>
    <cfRule type="cellIs" rank="0" priority="12" equalAverage="0" operator="equal" aboveAverage="0" dxfId="9" text="" percent="0" bottom="0">
      <formula>"Late (In Progress)"</formula>
    </cfRule>
    <cfRule type="cellIs" rank="0" priority="13" equalAverage="0" operator="equal" aboveAverage="0" dxfId="10" text="" percent="0" bottom="0">
      <formula>"Very Late (In Progress)"</formula>
    </cfRule>
    <cfRule type="cellIs" rank="0" priority="14" equalAverage="0" operator="equal" aboveAverage="0" dxfId="11" text="" percent="0" bottom="0">
      <formula>"Not Started"</formula>
    </cfRule>
    <cfRule type="cellIs" rank="0" priority="15" equalAverage="0" operator="equal" aboveAverage="0" dxfId="12" text="" percent="0" bottom="0">
      <formula>"Late &amp; Complete"</formula>
    </cfRule>
    <cfRule type="cellIs" rank="0" priority="16" equalAverage="0" operator="equal" aboveAverage="0" dxfId="10" text="" percent="0" bottom="0">
      <formula>"Very Late &amp; Complete"</formula>
    </cfRule>
  </conditionalFormatting>
  <conditionalFormatting sqref="E14:E16">
    <cfRule type="expression" rank="0" priority="17" equalAverage="0" aboveAverage="0" dxfId="2" text="" percent="0" bottom="0">
      <formula>E14&lt;D14</formula>
    </cfRule>
    <cfRule type="expression" rank="0" priority="18" equalAverage="0" aboveAverage="0" dxfId="3" text="" percent="0" bottom="0">
      <formula>E14&gt;D14</formula>
    </cfRule>
    <cfRule type="cellIs" rank="0" priority="19" equalAverage="0" operator="greaterThan" aboveAverage="0" dxfId="3" text="" percent="0" bottom="0">
      <formula>"D5"</formula>
    </cfRule>
    <cfRule type="cellIs" rank="0" priority="20" equalAverage="0" operator="equal" aboveAverage="0" dxfId="4" text="" percent="0" bottom="0">
      <formula>0</formula>
    </cfRule>
  </conditionalFormatting>
  <conditionalFormatting sqref="F14:W14">
    <cfRule type="cellIs" rank="0" priority="21" equalAverage="0" operator="equal" aboveAverage="0" dxfId="5" text="" percent="0" bottom="0">
      <formula>0</formula>
    </cfRule>
  </conditionalFormatting>
  <conditionalFormatting sqref="X14:X16">
    <cfRule type="cellIs" rank="0" priority="22" equalAverage="0" operator="equal" aboveAverage="0" dxfId="6" text="" percent="0" bottom="0">
      <formula>"Complete"</formula>
    </cfRule>
    <cfRule type="cellIs" rank="0" priority="23" equalAverage="0" operator="equal" aboveAverage="0" dxfId="7" text="" percent="0" bottom="0">
      <formula>"Early &amp; Complete"</formula>
    </cfRule>
    <cfRule type="cellIs" rank="0" priority="24" equalAverage="0" operator="equal" aboveAverage="0" dxfId="8" text="" percent="0" bottom="0">
      <formula>"Ontime (In Progress)"</formula>
    </cfRule>
    <cfRule type="cellIs" rank="0" priority="25" equalAverage="0" operator="equal" aboveAverage="0" dxfId="9" text="" percent="0" bottom="0">
      <formula>"Late (In Progress)"</formula>
    </cfRule>
    <cfRule type="cellIs" rank="0" priority="26" equalAverage="0" operator="equal" aboveAverage="0" dxfId="10" text="" percent="0" bottom="0">
      <formula>"Very Late (In Progress)"</formula>
    </cfRule>
    <cfRule type="cellIs" rank="0" priority="27" equalAverage="0" operator="equal" aboveAverage="0" dxfId="11" text="" percent="0" bottom="0">
      <formula>"Not Started"</formula>
    </cfRule>
    <cfRule type="cellIs" rank="0" priority="28" equalAverage="0" operator="equal" aboveAverage="0" dxfId="12" text="" percent="0" bottom="0">
      <formula>"Late &amp; Complete"</formula>
    </cfRule>
    <cfRule type="cellIs" rank="0" priority="29" equalAverage="0" operator="equal" aboveAverage="0" dxfId="10" text="" percent="0" bottom="0">
      <formula>"Very Late &amp; Complete"</formula>
    </cfRule>
  </conditionalFormatting>
  <conditionalFormatting sqref="E23:E25">
    <cfRule type="expression" rank="0" priority="30" equalAverage="0" aboveAverage="0" dxfId="2" text="" percent="0" bottom="0">
      <formula>E23&lt;D23</formula>
    </cfRule>
    <cfRule type="expression" rank="0" priority="31" equalAverage="0" aboveAverage="0" dxfId="3" text="" percent="0" bottom="0">
      <formula>E23&gt;D23</formula>
    </cfRule>
    <cfRule type="cellIs" rank="0" priority="32" equalAverage="0" operator="greaterThan" aboveAverage="0" dxfId="3" text="" percent="0" bottom="0">
      <formula>"D5"</formula>
    </cfRule>
    <cfRule type="cellIs" rank="0" priority="33" equalAverage="0" operator="equal" aboveAverage="0" dxfId="4" text="" percent="0" bottom="0">
      <formula>0</formula>
    </cfRule>
  </conditionalFormatting>
  <conditionalFormatting sqref="F23:O23 Q23:R23 T23:W23">
    <cfRule type="cellIs" rank="0" priority="34" equalAverage="0" operator="equal" aboveAverage="0" dxfId="5" text="" percent="0" bottom="0">
      <formula>0</formula>
    </cfRule>
  </conditionalFormatting>
  <conditionalFormatting sqref="X23:X25">
    <cfRule type="cellIs" rank="0" priority="35" equalAverage="0" operator="equal" aboveAverage="0" dxfId="6" text="" percent="0" bottom="0">
      <formula>"Complete"</formula>
    </cfRule>
    <cfRule type="cellIs" rank="0" priority="36" equalAverage="0" operator="equal" aboveAverage="0" dxfId="7" text="" percent="0" bottom="0">
      <formula>"Early &amp; Complete"</formula>
    </cfRule>
    <cfRule type="cellIs" rank="0" priority="37" equalAverage="0" operator="equal" aboveAverage="0" dxfId="8" text="" percent="0" bottom="0">
      <formula>"Ontime (In Progress)"</formula>
    </cfRule>
    <cfRule type="cellIs" rank="0" priority="38" equalAverage="0" operator="equal" aboveAverage="0" dxfId="9" text="" percent="0" bottom="0">
      <formula>"Late (In Progress)"</formula>
    </cfRule>
    <cfRule type="cellIs" rank="0" priority="39" equalAverage="0" operator="equal" aboveAverage="0" dxfId="10" text="" percent="0" bottom="0">
      <formula>"Very Late (In Progress)"</formula>
    </cfRule>
    <cfRule type="cellIs" rank="0" priority="40" equalAverage="0" operator="equal" aboveAverage="0" dxfId="11" text="" percent="0" bottom="0">
      <formula>"Not Started"</formula>
    </cfRule>
    <cfRule type="cellIs" rank="0" priority="41" equalAverage="0" operator="equal" aboveAverage="0" dxfId="12" text="" percent="0" bottom="0">
      <formula>"Late &amp; Complete"</formula>
    </cfRule>
    <cfRule type="cellIs" rank="0" priority="42" equalAverage="0" operator="equal" aboveAverage="0" dxfId="10" text="" percent="0" bottom="0">
      <formula>"Very Late &amp; Complete"</formula>
    </cfRule>
  </conditionalFormatting>
  <conditionalFormatting sqref="E26:E28">
    <cfRule type="expression" rank="0" priority="43" equalAverage="0" aboveAverage="0" dxfId="2" text="" percent="0" bottom="0">
      <formula>E26&lt;D26</formula>
    </cfRule>
    <cfRule type="expression" rank="0" priority="44" equalAverage="0" aboveAverage="0" dxfId="3" text="" percent="0" bottom="0">
      <formula>E26&gt;D26</formula>
    </cfRule>
    <cfRule type="cellIs" rank="0" priority="45" equalAverage="0" operator="greaterThan" aboveAverage="0" dxfId="3" text="" percent="0" bottom="0">
      <formula>"D5"</formula>
    </cfRule>
    <cfRule type="cellIs" rank="0" priority="46" equalAverage="0" operator="equal" aboveAverage="0" dxfId="4" text="" percent="0" bottom="0">
      <formula>0</formula>
    </cfRule>
  </conditionalFormatting>
  <conditionalFormatting sqref="F26:O26 Q26:R26 T26:W26">
    <cfRule type="cellIs" rank="0" priority="47" equalAverage="0" operator="equal" aboveAverage="0" dxfId="5" text="" percent="0" bottom="0">
      <formula>0</formula>
    </cfRule>
  </conditionalFormatting>
  <conditionalFormatting sqref="X26:X28">
    <cfRule type="cellIs" rank="0" priority="48" equalAverage="0" operator="equal" aboveAverage="0" dxfId="6" text="" percent="0" bottom="0">
      <formula>"Complete"</formula>
    </cfRule>
    <cfRule type="cellIs" rank="0" priority="49" equalAverage="0" operator="equal" aboveAverage="0" dxfId="7" text="" percent="0" bottom="0">
      <formula>"Early &amp; Complete"</formula>
    </cfRule>
    <cfRule type="cellIs" rank="0" priority="50" equalAverage="0" operator="equal" aboveAverage="0" dxfId="8" text="" percent="0" bottom="0">
      <formula>"Ontime (In Progress)"</formula>
    </cfRule>
    <cfRule type="cellIs" rank="0" priority="51" equalAverage="0" operator="equal" aboveAverage="0" dxfId="9" text="" percent="0" bottom="0">
      <formula>"Late (In Progress)"</formula>
    </cfRule>
    <cfRule type="cellIs" rank="0" priority="52" equalAverage="0" operator="equal" aboveAverage="0" dxfId="10" text="" percent="0" bottom="0">
      <formula>"Very Late (In Progress)"</formula>
    </cfRule>
    <cfRule type="cellIs" rank="0" priority="53" equalAverage="0" operator="equal" aboveAverage="0" dxfId="11" text="" percent="0" bottom="0">
      <formula>"Not Started"</formula>
    </cfRule>
    <cfRule type="cellIs" rank="0" priority="54" equalAverage="0" operator="equal" aboveAverage="0" dxfId="12" text="" percent="0" bottom="0">
      <formula>"Late &amp; Complete"</formula>
    </cfRule>
    <cfRule type="cellIs" rank="0" priority="55" equalAverage="0" operator="equal" aboveAverage="0" dxfId="10" text="" percent="0" bottom="0">
      <formula>"Very Late &amp; Complete"</formula>
    </cfRule>
  </conditionalFormatting>
  <conditionalFormatting sqref="F49:W49 F59:W59">
    <cfRule type="cellIs" rank="0" priority="60" equalAverage="0" operator="equal" aboveAverage="0" dxfId="5" text="" percent="0" bottom="0">
      <formula>0</formula>
    </cfRule>
  </conditionalFormatting>
  <conditionalFormatting sqref="X49:X61">
    <cfRule type="cellIs" rank="0" priority="61" equalAverage="0" operator="equal" aboveAverage="0" dxfId="6" text="" percent="0" bottom="0">
      <formula>"Complete"</formula>
    </cfRule>
    <cfRule type="cellIs" rank="0" priority="62" equalAverage="0" operator="equal" aboveAverage="0" dxfId="7" text="" percent="0" bottom="0">
      <formula>"Early &amp; Complete"</formula>
    </cfRule>
    <cfRule type="cellIs" rank="0" priority="63" equalAverage="0" operator="equal" aboveAverage="0" dxfId="8" text="" percent="0" bottom="0">
      <formula>"Ontime (In Progress)"</formula>
    </cfRule>
    <cfRule type="cellIs" rank="0" priority="64" equalAverage="0" operator="equal" aboveAverage="0" dxfId="9" text="" percent="0" bottom="0">
      <formula>"Late (In Progress)"</formula>
    </cfRule>
    <cfRule type="cellIs" rank="0" priority="65" equalAverage="0" operator="equal" aboveAverage="0" dxfId="10" text="" percent="0" bottom="0">
      <formula>"Very Late (In Progress)"</formula>
    </cfRule>
    <cfRule type="cellIs" rank="0" priority="66" equalAverage="0" operator="equal" aboveAverage="0" dxfId="11" text="" percent="0" bottom="0">
      <formula>"Not Started"</formula>
    </cfRule>
    <cfRule type="cellIs" rank="0" priority="67" equalAverage="0" operator="equal" aboveAverage="0" dxfId="12" text="" percent="0" bottom="0">
      <formula>"Late &amp; Complete"</formula>
    </cfRule>
    <cfRule type="cellIs" rank="0" priority="68" equalAverage="0" operator="equal" aboveAverage="0" dxfId="10" text="" percent="0" bottom="0">
      <formula>"Very Late &amp; Complete"</formula>
    </cfRule>
  </conditionalFormatting>
  <conditionalFormatting sqref="E3">
    <cfRule type="expression" rank="0" priority="69" equalAverage="0" aboveAverage="0" dxfId="2" text="" percent="0" bottom="0">
      <formula>E3&lt;D3</formula>
    </cfRule>
    <cfRule type="expression" rank="0" priority="70" equalAverage="0" aboveAverage="0" dxfId="3" text="" percent="0" bottom="0">
      <formula>E3&gt;D3</formula>
    </cfRule>
    <cfRule type="cellIs" rank="0" priority="71" equalAverage="0" operator="greaterThan" aboveAverage="0" dxfId="3" text="" percent="0" bottom="0">
      <formula>"D5"</formula>
    </cfRule>
    <cfRule type="cellIs" rank="0" priority="72" equalAverage="0" operator="equal" aboveAverage="0" dxfId="4" text="" percent="0" bottom="0">
      <formula>0</formula>
    </cfRule>
  </conditionalFormatting>
  <conditionalFormatting sqref="D14">
    <cfRule type="cellIs" rank="0" priority="73" equalAverage="0" operator="equal" aboveAverage="0" dxfId="0" text="" percent="0" bottom="0">
      <formula>0</formula>
    </cfRule>
  </conditionalFormatting>
  <conditionalFormatting sqref="D23">
    <cfRule type="cellIs" rank="0" priority="74" equalAverage="0" operator="equal" aboveAverage="0" dxfId="0" text="" percent="0" bottom="0">
      <formula>0</formula>
    </cfRule>
  </conditionalFormatting>
  <conditionalFormatting sqref="D26">
    <cfRule type="cellIs" rank="0" priority="75" equalAverage="0" operator="equal" aboveAverage="0" dxfId="0" text="" percent="0" bottom="0">
      <formula>0</formula>
    </cfRule>
  </conditionalFormatting>
  <conditionalFormatting sqref="D49 D59">
    <cfRule type="cellIs" rank="0" priority="76" equalAverage="0" operator="equal" aboveAverage="0" dxfId="0" text="" percent="0" bottom="0">
      <formula>0</formula>
    </cfRule>
  </conditionalFormatting>
  <conditionalFormatting sqref="E17">
    <cfRule type="expression" rank="0" priority="77" equalAverage="0" aboveAverage="0" dxfId="2" text="" percent="0" bottom="0">
      <formula>E17&lt;D17</formula>
    </cfRule>
    <cfRule type="expression" rank="0" priority="78" equalAverage="0" aboveAverage="0" dxfId="3" text="" percent="0" bottom="0">
      <formula>E17&gt;D17</formula>
    </cfRule>
    <cfRule type="cellIs" rank="0" priority="79" equalAverage="0" operator="greaterThan" aboveAverage="0" dxfId="3" text="" percent="0" bottom="0">
      <formula>"D5"</formula>
    </cfRule>
    <cfRule type="cellIs" rank="0" priority="80" equalAverage="0" operator="equal" aboveAverage="0" dxfId="4" text="" percent="0" bottom="0">
      <formula>0</formula>
    </cfRule>
  </conditionalFormatting>
  <conditionalFormatting sqref="E29">
    <cfRule type="expression" rank="0" priority="81" equalAverage="0" aboveAverage="0" dxfId="2" text="" percent="0" bottom="0">
      <formula>E29&lt;D29</formula>
    </cfRule>
    <cfRule type="expression" rank="0" priority="82" equalAverage="0" aboveAverage="0" dxfId="3" text="" percent="0" bottom="0">
      <formula>E29&gt;D29</formula>
    </cfRule>
    <cfRule type="cellIs" rank="0" priority="83" equalAverage="0" operator="greaterThan" aboveAverage="0" dxfId="3" text="" percent="0" bottom="0">
      <formula>"D5"</formula>
    </cfRule>
    <cfRule type="cellIs" rank="0" priority="84" equalAverage="0" operator="equal" aboveAverage="0" dxfId="4" text="" percent="0" bottom="0">
      <formula>0</formula>
    </cfRule>
  </conditionalFormatting>
  <conditionalFormatting sqref="D64:V64">
    <cfRule type="cellIs" rank="0" priority="85" equalAverage="0" operator="lessThan" aboveAverage="0" dxfId="13" text="" percent="0" bottom="0">
      <formula>0</formula>
    </cfRule>
    <cfRule type="cellIs" rank="0" priority="86" equalAverage="0" operator="greaterThan" aboveAverage="0" dxfId="14" text="" percent="0" bottom="0">
      <formula>0</formula>
    </cfRule>
  </conditionalFormatting>
  <conditionalFormatting sqref="E11:E13">
    <cfRule type="expression" rank="0" priority="87" equalAverage="0" aboveAverage="0" dxfId="2" text="" percent="0" bottom="0">
      <formula>E11&lt;D11</formula>
    </cfRule>
    <cfRule type="expression" rank="0" priority="88" equalAverage="0" aboveAverage="0" dxfId="3" text="" percent="0" bottom="0">
      <formula>E11&gt;D11</formula>
    </cfRule>
    <cfRule type="cellIs" rank="0" priority="89" equalAverage="0" operator="greaterThan" aboveAverage="0" dxfId="3" text="" percent="0" bottom="0">
      <formula>"D5"</formula>
    </cfRule>
    <cfRule type="cellIs" rank="0" priority="90" equalAverage="0" operator="equal" aboveAverage="0" dxfId="4" text="" percent="0" bottom="0">
      <formula>0</formula>
    </cfRule>
  </conditionalFormatting>
  <conditionalFormatting sqref="F11:W11">
    <cfRule type="cellIs" rank="0" priority="91" equalAverage="0" operator="equal" aboveAverage="0" dxfId="5" text="" percent="0" bottom="0">
      <formula>0</formula>
    </cfRule>
  </conditionalFormatting>
  <conditionalFormatting sqref="X11:X13">
    <cfRule type="cellIs" rank="0" priority="92" equalAverage="0" operator="equal" aboveAverage="0" dxfId="6" text="" percent="0" bottom="0">
      <formula>"Complete"</formula>
    </cfRule>
    <cfRule type="cellIs" rank="0" priority="93" equalAverage="0" operator="equal" aboveAverage="0" dxfId="7" text="" percent="0" bottom="0">
      <formula>"Early &amp; Complete"</formula>
    </cfRule>
    <cfRule type="cellIs" rank="0" priority="94" equalAverage="0" operator="equal" aboveAverage="0" dxfId="8" text="" percent="0" bottom="0">
      <formula>"Ontime (In Progress)"</formula>
    </cfRule>
    <cfRule type="cellIs" rank="0" priority="95" equalAverage="0" operator="equal" aboveAverage="0" dxfId="9" text="" percent="0" bottom="0">
      <formula>"Late (In Progress)"</formula>
    </cfRule>
    <cfRule type="cellIs" rank="0" priority="96" equalAverage="0" operator="equal" aboveAverage="0" dxfId="10" text="" percent="0" bottom="0">
      <formula>"Very Late (In Progress)"</formula>
    </cfRule>
    <cfRule type="cellIs" rank="0" priority="97" equalAverage="0" operator="equal" aboveAverage="0" dxfId="11" text="" percent="0" bottom="0">
      <formula>"Not Started"</formula>
    </cfRule>
    <cfRule type="cellIs" rank="0" priority="98" equalAverage="0" operator="equal" aboveAverage="0" dxfId="12" text="" percent="0" bottom="0">
      <formula>"Late &amp; Complete"</formula>
    </cfRule>
    <cfRule type="cellIs" rank="0" priority="99" equalAverage="0" operator="equal" aboveAverage="0" dxfId="10" text="" percent="0" bottom="0">
      <formula>"Very Late &amp; Complete"</formula>
    </cfRule>
  </conditionalFormatting>
  <conditionalFormatting sqref="D11">
    <cfRule type="cellIs" rank="0" priority="100" equalAverage="0" operator="equal" aboveAverage="0" dxfId="0" text="" percent="0" bottom="0">
      <formula>0</formula>
    </cfRule>
  </conditionalFormatting>
  <conditionalFormatting sqref="R11 T11:V11">
    <cfRule type="cellIs" rank="0" priority="101" equalAverage="0" operator="equal" aboveAverage="0" dxfId="5" text="" percent="0" bottom="0">
      <formula>0</formula>
    </cfRule>
  </conditionalFormatting>
  <conditionalFormatting sqref="P7 P18 P21 P30 P40 P47">
    <cfRule type="cellIs" rank="0" priority="102" equalAverage="0" operator="equal" aboveAverage="0" dxfId="5" text="" percent="0" bottom="0">
      <formula>0</formula>
    </cfRule>
  </conditionalFormatting>
  <conditionalFormatting sqref="P14">
    <cfRule type="cellIs" rank="0" priority="103" equalAverage="0" operator="equal" aboveAverage="0" dxfId="5" text="" percent="0" bottom="0">
      <formula>0</formula>
    </cfRule>
  </conditionalFormatting>
  <conditionalFormatting sqref="P23">
    <cfRule type="cellIs" rank="0" priority="104" equalAverage="0" operator="equal" aboveAverage="0" dxfId="5" text="" percent="0" bottom="0">
      <formula>0</formula>
    </cfRule>
  </conditionalFormatting>
  <conditionalFormatting sqref="P26">
    <cfRule type="cellIs" rank="0" priority="105" equalAverage="0" operator="equal" aboveAverage="0" dxfId="5" text="" percent="0" bottom="0">
      <formula>0</formula>
    </cfRule>
  </conditionalFormatting>
  <conditionalFormatting sqref="P49 P59">
    <cfRule type="cellIs" rank="0" priority="106" equalAverage="0" operator="equal" aboveAverage="0" dxfId="5" text="" percent="0" bottom="0">
      <formula>0</formula>
    </cfRule>
  </conditionalFormatting>
  <conditionalFormatting sqref="P11">
    <cfRule type="cellIs" rank="0" priority="107" equalAverage="0" operator="equal" aboveAverage="0" dxfId="5" text="" percent="0" bottom="0">
      <formula>0</formula>
    </cfRule>
  </conditionalFormatting>
  <conditionalFormatting sqref="S7 S18 S21 S30 S40 S47">
    <cfRule type="cellIs" rank="0" priority="108" equalAverage="0" operator="equal" aboveAverage="0" dxfId="5" text="" percent="0" bottom="0">
      <formula>0</formula>
    </cfRule>
  </conditionalFormatting>
  <conditionalFormatting sqref="S14">
    <cfRule type="cellIs" rank="0" priority="109" equalAverage="0" operator="equal" aboveAverage="0" dxfId="5" text="" percent="0" bottom="0">
      <formula>0</formula>
    </cfRule>
  </conditionalFormatting>
  <conditionalFormatting sqref="S23">
    <cfRule type="cellIs" rank="0" priority="110" equalAverage="0" operator="equal" aboveAverage="0" dxfId="5" text="" percent="0" bottom="0">
      <formula>0</formula>
    </cfRule>
  </conditionalFormatting>
  <conditionalFormatting sqref="S26">
    <cfRule type="cellIs" rank="0" priority="111" equalAverage="0" operator="equal" aboveAverage="0" dxfId="5" text="" percent="0" bottom="0">
      <formula>0</formula>
    </cfRule>
  </conditionalFormatting>
  <conditionalFormatting sqref="S49 S59">
    <cfRule type="cellIs" rank="0" priority="112" equalAverage="0" operator="equal" aboveAverage="0" dxfId="5" text="" percent="0" bottom="0">
      <formula>0</formula>
    </cfRule>
  </conditionalFormatting>
  <conditionalFormatting sqref="S11">
    <cfRule type="cellIs" rank="0" priority="113" equalAverage="0" operator="equal" aboveAverage="0" dxfId="5" text="" percent="0" bottom="0">
      <formula>0</formula>
    </cfRule>
  </conditionalFormatting>
  <conditionalFormatting sqref="E49:E61">
    <cfRule type="expression" rank="0" priority="4" equalAverage="0" aboveAverage="0" dxfId="2" text="" percent="0" bottom="0">
      <formula>E49&lt;D49</formula>
    </cfRule>
    <cfRule type="expression" rank="0" priority="5" equalAverage="0" aboveAverage="0" dxfId="3" text="" percent="0" bottom="0">
      <formula>E49&gt;D49</formula>
    </cfRule>
    <cfRule type="cellIs" rank="0" priority="6" equalAverage="0" operator="greaterThan" aboveAverage="0" dxfId="3" text="" percent="0" bottom="0">
      <formula>"D5"</formula>
    </cfRule>
    <cfRule type="cellIs" rank="0" priority="7" equalAverage="0" operator="equal" aboveAverage="0" dxfId="4" text="" percent="0" bottom="0">
      <formula>0</formula>
    </cfRule>
  </conditionalFormatting>
  <dataValidations count="2">
    <dataValidation sqref="X4:X7 X10:X11 X13:X14 X16 X18:X23 X25:X26 X28 X30:X61" showDropDown="0" showInputMessage="0" showErrorMessage="0" allowBlank="1" type="list" errorStyle="stop" operator="between">
      <formula1>"Complete,Early &amp; Complete,Ontime (In Progress),Late (In Progress),Very Late &amp; Complete,Very Late (In Progress),Not Started,Late &amp; Complete"</formula1>
      <formula2>0</formula2>
    </dataValidation>
    <dataValidation sqref="X8:X9 X12 X15 X24 X27" showDropDown="0" showInputMessage="0" showErrorMessage="0" allowBlank="1" type="list" errorStyle="stop" operator="between">
      <formula1>"Complete,Early &amp; Complete,Ontime (In Progress),Late (In Progress),Very Late &amp; Complete,Very Late (In Progress),Not Started,Late &amp; Completed"</formula1>
      <formula2>0</formula2>
    </dataValidation>
  </dataValidations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Scott E Palo</dc:creator>
  <dc:language>en-US</dc:language>
  <dcterms:created xsi:type="dcterms:W3CDTF">2024-09-06T13:08:00Z</dcterms:created>
  <dcterms:modified xsi:type="dcterms:W3CDTF">2026-10-17T02:29:30Z</dcterms:modified>
  <cp:revision>9</cp:revision>
  <cp:lastPrinted>2026-09-16T17:48:00Z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1033-11.1.0.11733</vt:lpwstr>
  </property>
</Properties>
</file>